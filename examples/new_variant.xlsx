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Deploy\nts\"/>
    </mc:Choice>
  </mc:AlternateContent>
  <xr:revisionPtr revIDLastSave="0" documentId="13_ncr:1_{97220E1B-BB6B-4441-B22E-023665C128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2" sheetId="2" r:id="rId1"/>
    <sheet name="Лист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2" l="1"/>
  <c r="L10" i="2"/>
  <c r="K10" i="2"/>
  <c r="H10" i="2"/>
  <c r="A10" i="2"/>
  <c r="P10" i="2"/>
  <c r="L6" i="2"/>
  <c r="P17" i="2" s="1"/>
  <c r="E6" i="2"/>
  <c r="D6" i="2"/>
  <c r="L5" i="2"/>
  <c r="P5" i="2" s="1"/>
  <c r="E5" i="2"/>
  <c r="D5" i="2"/>
  <c r="L4" i="2"/>
  <c r="P15" i="2" s="1"/>
  <c r="E4" i="2"/>
  <c r="D4" i="2"/>
  <c r="L3" i="2"/>
  <c r="E3" i="2"/>
  <c r="D3" i="2"/>
  <c r="A12" i="2" l="1"/>
  <c r="N4" i="2"/>
  <c r="O4" i="2"/>
  <c r="P4" i="2"/>
  <c r="F10" i="2"/>
  <c r="I10" i="2" s="1"/>
  <c r="E10" i="2"/>
  <c r="P3" i="2"/>
  <c r="O6" i="2"/>
  <c r="P6" i="2"/>
  <c r="N6" i="2"/>
  <c r="P16" i="2"/>
  <c r="O3" i="2"/>
  <c r="N5" i="2"/>
  <c r="P14" i="2"/>
  <c r="B12" i="2"/>
  <c r="B10" i="2" s="1"/>
  <c r="N3" i="2"/>
  <c r="O5" i="2"/>
  <c r="C12" i="2"/>
  <c r="C10" i="2" s="1"/>
  <c r="Q3" i="2" l="1"/>
  <c r="R3" i="2" s="1"/>
  <c r="Q5" i="2"/>
  <c r="B14" i="2"/>
  <c r="Q6" i="2"/>
  <c r="R6" i="2" s="1"/>
  <c r="Q4" i="2"/>
  <c r="R4" i="2" s="1"/>
  <c r="I15" i="2"/>
  <c r="I14" i="2"/>
  <c r="I13" i="2"/>
  <c r="R5" i="2"/>
  <c r="N14" i="2" l="1"/>
  <c r="J13" i="2" s="1"/>
  <c r="K13" i="2" s="1"/>
  <c r="J15" i="2" l="1"/>
  <c r="J14" i="2"/>
  <c r="L13" i="2"/>
  <c r="L15" i="2" l="1"/>
  <c r="K15" i="2"/>
  <c r="L14" i="2"/>
  <c r="K14" i="2"/>
  <c r="S14" i="2" l="1"/>
  <c r="T14" i="2" s="1"/>
  <c r="S15" i="2"/>
  <c r="T15" i="2" s="1"/>
  <c r="S16" i="2"/>
  <c r="T16" i="2" s="1"/>
  <c r="S17" i="2"/>
  <c r="T17" i="2" s="1"/>
  <c r="U17" i="2" l="1"/>
  <c r="U14" i="2"/>
  <c r="U16" i="2"/>
  <c r="U15" i="2"/>
  <c r="U19" i="2" l="1"/>
  <c r="M19" i="2" l="1"/>
  <c r="L21" i="2" s="1"/>
</calcChain>
</file>

<file path=xl/sharedStrings.xml><?xml version="1.0" encoding="utf-8"?>
<sst xmlns="http://schemas.openxmlformats.org/spreadsheetml/2006/main" count="51" uniqueCount="47">
  <si>
    <t>№ опыта</t>
  </si>
  <si>
    <t>План вкодированных переменных</t>
  </si>
  <si>
    <t>План в отношениях</t>
  </si>
  <si>
    <t>Z1</t>
  </si>
  <si>
    <t>Z2</t>
  </si>
  <si>
    <t>План в исходных перемещениях</t>
  </si>
  <si>
    <t>х1</t>
  </si>
  <si>
    <t>х2</t>
  </si>
  <si>
    <t>х3</t>
  </si>
  <si>
    <t>Отклик</t>
  </si>
  <si>
    <t>у2</t>
  </si>
  <si>
    <t>у3</t>
  </si>
  <si>
    <t>уср.</t>
  </si>
  <si>
    <t>b0</t>
  </si>
  <si>
    <t>b1</t>
  </si>
  <si>
    <t>b2</t>
  </si>
  <si>
    <t>δ1</t>
  </si>
  <si>
    <t>δ2</t>
  </si>
  <si>
    <t>Y=</t>
  </si>
  <si>
    <t>у₁</t>
  </si>
  <si>
    <r>
      <t>S</t>
    </r>
    <r>
      <rPr>
        <sz val="11"/>
        <color theme="1"/>
        <rFont val="Calibri"/>
        <family val="2"/>
        <charset val="204"/>
      </rPr>
      <t>₁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</si>
  <si>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₂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</si>
  <si>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₃</t>
    </r>
    <r>
      <rPr>
        <sz val="16.95"/>
        <color theme="1"/>
        <rFont val="Calibri"/>
        <family val="2"/>
        <charset val="204"/>
      </rPr>
      <t>²</t>
    </r>
  </si>
  <si>
    <t>G</t>
  </si>
  <si>
    <t>Gкрит</t>
  </si>
  <si>
    <r>
      <t>V</t>
    </r>
    <r>
      <rPr>
        <sz val="11"/>
        <color theme="1"/>
        <rFont val="Calibri"/>
        <family val="2"/>
        <charset val="204"/>
      </rPr>
      <t>₁</t>
    </r>
  </si>
  <si>
    <r>
      <t>V</t>
    </r>
    <r>
      <rPr>
        <sz val="11"/>
        <color theme="1"/>
        <rFont val="Calibri"/>
        <family val="2"/>
        <charset val="204"/>
      </rPr>
      <t>₂</t>
    </r>
  </si>
  <si>
    <t>q</t>
  </si>
  <si>
    <t>в</t>
  </si>
  <si>
    <t>t</t>
  </si>
  <si>
    <t>S^2_вос</t>
  </si>
  <si>
    <t>S_в</t>
  </si>
  <si>
    <t>t_крит</t>
  </si>
  <si>
    <t>у_ср</t>
  </si>
  <si>
    <t>y</t>
  </si>
  <si>
    <t>у ср-у</t>
  </si>
  <si>
    <t>(у ср-у)^2</t>
  </si>
  <si>
    <t>F</t>
  </si>
  <si>
    <t>F_крит</t>
  </si>
  <si>
    <t>Итог</t>
  </si>
  <si>
    <r>
      <t>Pz</t>
    </r>
    <r>
      <rPr>
        <sz val="11"/>
        <color theme="1"/>
        <rFont val="Calibri"/>
        <family val="2"/>
        <charset val="204"/>
      </rPr>
      <t>₂</t>
    </r>
  </si>
  <si>
    <r>
      <t>Pz</t>
    </r>
    <r>
      <rPr>
        <sz val="11"/>
        <color theme="1"/>
        <rFont val="Calibri"/>
        <family val="2"/>
        <charset val="204"/>
      </rPr>
      <t>₁</t>
    </r>
  </si>
  <si>
    <r>
      <t>z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scheme val="minor"/>
      </rPr>
      <t>ср.</t>
    </r>
  </si>
  <si>
    <r>
      <t>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scheme val="minor"/>
      </rPr>
      <t>ср.</t>
    </r>
  </si>
  <si>
    <t>b₀</t>
  </si>
  <si>
    <t>b₁</t>
  </si>
  <si>
    <t>b₂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</si>
</sst>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6.95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012E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0" fontId="4" fillId="0" borderId="0" xfId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012E2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tabSelected="1" topLeftCell="L5" zoomScale="184" zoomScaleNormal="184" workbookViewId="0">
      <selection activeCell="X11" sqref="X11"/>
    </sheetView>
  </sheetViews>
  <sheetFormatPr defaultRowHeight="15" x14ac:dyDescent="0.25"/>
  <cols>
    <col min="1" max="1" width="9.140625" bestFit="1" customWidth="1"/>
    <col min="2" max="2" width="5.28515625" bestFit="1" customWidth="1"/>
    <col min="3" max="3" width="3.7109375" bestFit="1" customWidth="1"/>
    <col min="6" max="6" width="10.42578125" customWidth="1"/>
    <col min="7" max="7" width="6.42578125" bestFit="1" customWidth="1"/>
    <col min="19" max="19" width="10.28515625" bestFit="1" customWidth="1"/>
  </cols>
  <sheetData>
    <row r="1" spans="1:21" ht="28.9" customHeight="1" x14ac:dyDescent="0.25">
      <c r="A1" s="6" t="s">
        <v>0</v>
      </c>
      <c r="B1" s="32" t="s">
        <v>1</v>
      </c>
      <c r="C1" s="32"/>
      <c r="D1" s="33" t="s">
        <v>2</v>
      </c>
      <c r="E1" s="33"/>
      <c r="F1" s="32" t="s">
        <v>5</v>
      </c>
      <c r="G1" s="32"/>
      <c r="H1" s="32"/>
      <c r="I1" s="33" t="s">
        <v>9</v>
      </c>
      <c r="J1" s="33"/>
      <c r="K1" s="33"/>
      <c r="L1" s="33"/>
      <c r="M1" s="1"/>
    </row>
    <row r="2" spans="1:21" ht="23.25" thickBot="1" x14ac:dyDescent="0.3">
      <c r="A2" s="6"/>
      <c r="B2" s="7" t="s">
        <v>16</v>
      </c>
      <c r="C2" s="7" t="s">
        <v>17</v>
      </c>
      <c r="D2" s="6" t="s">
        <v>3</v>
      </c>
      <c r="E2" s="6" t="s">
        <v>4</v>
      </c>
      <c r="F2" s="6" t="s">
        <v>6</v>
      </c>
      <c r="G2" s="6" t="s">
        <v>7</v>
      </c>
      <c r="H2" s="6" t="s">
        <v>8</v>
      </c>
      <c r="I2" s="6" t="s">
        <v>19</v>
      </c>
      <c r="J2" s="6" t="s">
        <v>10</v>
      </c>
      <c r="K2" s="6" t="s">
        <v>11</v>
      </c>
      <c r="L2" s="6" t="s">
        <v>12</v>
      </c>
      <c r="M2" s="1"/>
      <c r="N2" s="6" t="s">
        <v>20</v>
      </c>
      <c r="O2" s="6" t="s">
        <v>21</v>
      </c>
      <c r="P2" s="6" t="s">
        <v>22</v>
      </c>
      <c r="Q2" s="6" t="s">
        <v>23</v>
      </c>
    </row>
    <row r="3" spans="1:21" ht="15.75" thickBot="1" x14ac:dyDescent="0.3">
      <c r="A3" s="6">
        <v>1</v>
      </c>
      <c r="B3" s="6">
        <v>-1</v>
      </c>
      <c r="C3" s="6">
        <v>-1</v>
      </c>
      <c r="D3" s="6">
        <f>F3/G3</f>
        <v>0.84000752021056591</v>
      </c>
      <c r="E3" s="6">
        <f>H3/G3</f>
        <v>4.0045121263395378E-2</v>
      </c>
      <c r="F3" s="25">
        <v>44.68</v>
      </c>
      <c r="G3" s="26">
        <v>53.19</v>
      </c>
      <c r="H3" s="26">
        <v>2.13</v>
      </c>
      <c r="I3" s="25">
        <v>974</v>
      </c>
      <c r="J3" s="26">
        <v>1079</v>
      </c>
      <c r="K3" s="26">
        <v>901</v>
      </c>
      <c r="L3" s="6">
        <f>AVERAGE(I3,J3,K3)</f>
        <v>984.66666666666663</v>
      </c>
      <c r="M3" s="1"/>
      <c r="N3" s="13">
        <f>(L3-I3)^2</f>
        <v>113.77777777777698</v>
      </c>
      <c r="O3" s="13">
        <f>(L3-J3)^2</f>
        <v>8898.7777777777846</v>
      </c>
      <c r="P3" s="13">
        <f>(L3-K3)^2</f>
        <v>7000.1111111111049</v>
      </c>
      <c r="Q3" s="13">
        <f>MAX(N3:P3)/SUM(N3:P3)</f>
        <v>0.5557336553006651</v>
      </c>
      <c r="R3" s="15" t="str">
        <f>IF(Q3&lt;$N$10,"OK"," not OK")</f>
        <v>OK</v>
      </c>
    </row>
    <row r="4" spans="1:21" ht="15.75" thickBot="1" x14ac:dyDescent="0.3">
      <c r="A4" s="6">
        <v>2</v>
      </c>
      <c r="B4" s="6">
        <v>-1</v>
      </c>
      <c r="C4" s="6">
        <v>1</v>
      </c>
      <c r="D4" s="6">
        <f>F4/G4</f>
        <v>0.84</v>
      </c>
      <c r="E4" s="6">
        <f>H4/G4</f>
        <v>0.16</v>
      </c>
      <c r="F4" s="27">
        <v>42</v>
      </c>
      <c r="G4" s="28">
        <v>50</v>
      </c>
      <c r="H4" s="28">
        <v>8</v>
      </c>
      <c r="I4" s="27">
        <v>822</v>
      </c>
      <c r="J4" s="28">
        <v>902</v>
      </c>
      <c r="K4" s="28">
        <v>782</v>
      </c>
      <c r="L4" s="6">
        <f>AVERAGE(I4,J4,K4)</f>
        <v>835.33333333333337</v>
      </c>
      <c r="M4" s="1"/>
      <c r="N4" s="13">
        <f>(L4-I4)^2</f>
        <v>177.77777777777879</v>
      </c>
      <c r="O4" s="13">
        <f>(L4-J4)^2</f>
        <v>4444.4444444444398</v>
      </c>
      <c r="P4" s="13">
        <f>(L4-K4)^2</f>
        <v>2844.4444444444484</v>
      </c>
      <c r="Q4" s="13">
        <f>MAX(N4:P4)/SUM(N4:P4)</f>
        <v>0.59523809523809457</v>
      </c>
      <c r="R4" s="15" t="str">
        <f>IF(Q4&lt;$N$10,"OK"," not OK")</f>
        <v>OK</v>
      </c>
    </row>
    <row r="5" spans="1:21" ht="15.75" thickBot="1" x14ac:dyDescent="0.3">
      <c r="A5" s="6">
        <v>3</v>
      </c>
      <c r="B5" s="6">
        <v>1</v>
      </c>
      <c r="C5" s="6">
        <v>-1</v>
      </c>
      <c r="D5" s="6">
        <f>F5/G5</f>
        <v>0.96</v>
      </c>
      <c r="E5" s="6">
        <f>H5/G5</f>
        <v>0.04</v>
      </c>
      <c r="F5" s="27">
        <v>48</v>
      </c>
      <c r="G5" s="28">
        <v>50</v>
      </c>
      <c r="H5" s="28">
        <v>2</v>
      </c>
      <c r="I5" s="27">
        <v>883</v>
      </c>
      <c r="J5" s="28">
        <v>1046</v>
      </c>
      <c r="K5" s="28">
        <v>886</v>
      </c>
      <c r="L5" s="8">
        <f>AVERAGE(I5,J5,K5)</f>
        <v>938.33333333333337</v>
      </c>
      <c r="M5" s="1"/>
      <c r="N5" s="13">
        <f>(L5-I5)^2</f>
        <v>3061.7777777777819</v>
      </c>
      <c r="O5" s="13">
        <f>(L5-J5)^2</f>
        <v>11592.111111111102</v>
      </c>
      <c r="P5" s="13">
        <f>(L5-K5)^2</f>
        <v>2738.7777777777819</v>
      </c>
      <c r="Q5" s="13">
        <f>MAX(N5:P5)/SUM(N5:P5)</f>
        <v>0.6664941801781078</v>
      </c>
      <c r="R5" s="15" t="str">
        <f>IF(Q5&lt;$N$10,"OK"," not OK")</f>
        <v>OK</v>
      </c>
    </row>
    <row r="6" spans="1:21" ht="15.75" thickBot="1" x14ac:dyDescent="0.3">
      <c r="A6" s="6">
        <v>4</v>
      </c>
      <c r="B6" s="6">
        <v>1</v>
      </c>
      <c r="C6" s="6">
        <v>1</v>
      </c>
      <c r="D6" s="6">
        <f>F6/G6</f>
        <v>0.95993216027135886</v>
      </c>
      <c r="E6" s="6">
        <f>H6/G6</f>
        <v>0.16005935976256094</v>
      </c>
      <c r="F6" s="27">
        <v>45.28</v>
      </c>
      <c r="G6" s="28">
        <v>47.17</v>
      </c>
      <c r="H6" s="28">
        <v>7.55</v>
      </c>
      <c r="I6" s="27">
        <v>846</v>
      </c>
      <c r="J6" s="28">
        <v>981</v>
      </c>
      <c r="K6" s="28">
        <v>882</v>
      </c>
      <c r="L6" s="6">
        <f>AVERAGE(I6,J6,K6)</f>
        <v>903</v>
      </c>
      <c r="M6" s="1"/>
      <c r="N6" s="13">
        <f>(L6-I6)^2</f>
        <v>3249</v>
      </c>
      <c r="O6" s="13">
        <f>(L6-J6)^2</f>
        <v>6084</v>
      </c>
      <c r="P6" s="13">
        <f>(L6-K6)^2</f>
        <v>441</v>
      </c>
      <c r="Q6" s="13">
        <f>MAX(N6:P6)/SUM(N6:P6)</f>
        <v>0.62246777163904232</v>
      </c>
      <c r="R6" s="15" t="str">
        <f>IF(Q6&lt;$N$10,"OK"," not OK")</f>
        <v>OK</v>
      </c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12"/>
      <c r="K7" s="12"/>
      <c r="L7" s="6"/>
      <c r="M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21" x14ac:dyDescent="0.25">
      <c r="A9" s="5" t="s">
        <v>13</v>
      </c>
      <c r="B9" s="5" t="s">
        <v>14</v>
      </c>
      <c r="C9" s="5" t="s">
        <v>15</v>
      </c>
      <c r="D9" s="1"/>
      <c r="E9" s="3" t="s">
        <v>42</v>
      </c>
      <c r="F9" s="3" t="s">
        <v>43</v>
      </c>
      <c r="G9" s="1"/>
      <c r="H9" s="2" t="s">
        <v>41</v>
      </c>
      <c r="I9" s="2" t="s">
        <v>40</v>
      </c>
      <c r="J9" s="1"/>
      <c r="K9" s="9" t="s">
        <v>16</v>
      </c>
      <c r="L9" s="9" t="s">
        <v>17</v>
      </c>
      <c r="M9" s="1"/>
      <c r="N9" s="6" t="s">
        <v>24</v>
      </c>
      <c r="O9" s="6" t="s">
        <v>25</v>
      </c>
      <c r="P9" s="6" t="s">
        <v>26</v>
      </c>
      <c r="Q9" s="6" t="s">
        <v>27</v>
      </c>
      <c r="S9" s="1" t="s">
        <v>32</v>
      </c>
      <c r="T9" s="1">
        <v>2.306</v>
      </c>
    </row>
    <row r="10" spans="1:21" x14ac:dyDescent="0.25">
      <c r="A10" s="5">
        <f>A12</f>
        <v>915.33333333333337</v>
      </c>
      <c r="B10" s="5">
        <f>B12</f>
        <v>5.3333333333333428</v>
      </c>
      <c r="C10" s="5">
        <f>C12</f>
        <v>-46.166666666666629</v>
      </c>
      <c r="D10" s="1"/>
      <c r="E10" s="4">
        <f>SUM(D3:D6)/4</f>
        <v>0.89998492012048126</v>
      </c>
      <c r="F10" s="4">
        <f>SUM(E3:E6)/4</f>
        <v>0.10002612025648908</v>
      </c>
      <c r="G10" s="1"/>
      <c r="H10" s="2">
        <f>E10-MIN(D3:D6)</f>
        <v>5.9984920120481289E-2</v>
      </c>
      <c r="I10" s="2">
        <f>MAX(E3:E6)-F10</f>
        <v>6.0033239506071867E-2</v>
      </c>
      <c r="J10" s="1"/>
      <c r="K10" s="10">
        <f>((F3/G3)-E10)/H10</f>
        <v>-0.99987463164824042</v>
      </c>
      <c r="L10" s="10">
        <f>(E3-F10)/I10</f>
        <v>-0.99912980686353126</v>
      </c>
      <c r="M10" s="1"/>
      <c r="N10" s="6">
        <v>0.76790000000000003</v>
      </c>
      <c r="O10" s="6">
        <v>2</v>
      </c>
      <c r="P10" s="6">
        <f>4</f>
        <v>4</v>
      </c>
      <c r="Q10" s="14">
        <v>0.05</v>
      </c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1" x14ac:dyDescent="0.25">
      <c r="A12" s="6">
        <f>SUM(L3:L6)/4</f>
        <v>915.33333333333337</v>
      </c>
      <c r="B12" s="6">
        <f>(-L3-L4+L5+L6)/4</f>
        <v>5.3333333333333428</v>
      </c>
      <c r="C12" s="6">
        <f>(-L3+L4-L5+L6)/4</f>
        <v>-46.166666666666629</v>
      </c>
      <c r="G12" s="1"/>
      <c r="H12" s="22"/>
      <c r="I12" s="22" t="s">
        <v>28</v>
      </c>
      <c r="J12" s="22" t="s">
        <v>29</v>
      </c>
      <c r="K12" s="1"/>
      <c r="M12" s="21" t="s">
        <v>30</v>
      </c>
      <c r="N12" s="21">
        <f>SUM(N3:P6)/8</f>
        <v>6330.75</v>
      </c>
      <c r="P12" s="30" t="s">
        <v>39</v>
      </c>
      <c r="Q12" s="30"/>
      <c r="R12" s="30"/>
      <c r="S12" s="30"/>
      <c r="T12" s="30"/>
      <c r="U12" s="30"/>
    </row>
    <row r="13" spans="1:21" x14ac:dyDescent="0.25">
      <c r="G13" s="1"/>
      <c r="H13" s="22" t="s">
        <v>44</v>
      </c>
      <c r="I13" s="22">
        <f>A10+B10*(-1)*E10/H10+C10*F10*(-1)/I10</f>
        <v>912.23649095893268</v>
      </c>
      <c r="J13" s="22">
        <f>ABS(I13)/$N$14</f>
        <v>39.716455413190786</v>
      </c>
      <c r="K13" s="1" t="str">
        <f>IF(J13&gt;$T$9,"+"," -")</f>
        <v>+</v>
      </c>
      <c r="L13" s="1" t="str">
        <f>IF(J13&gt;$T$9,"Значимое"," Не знач")</f>
        <v>Значимое</v>
      </c>
      <c r="M13" s="1"/>
      <c r="N13" s="1"/>
      <c r="P13" s="17" t="s">
        <v>33</v>
      </c>
      <c r="Q13" s="18" t="s">
        <v>16</v>
      </c>
      <c r="R13" s="18" t="s">
        <v>17</v>
      </c>
      <c r="S13" s="17" t="s">
        <v>34</v>
      </c>
      <c r="T13" s="17" t="s">
        <v>35</v>
      </c>
      <c r="U13" s="17" t="s">
        <v>36</v>
      </c>
    </row>
    <row r="14" spans="1:21" x14ac:dyDescent="0.25">
      <c r="A14" s="11" t="s">
        <v>18</v>
      </c>
      <c r="B14" s="31" t="str">
        <f>""&amp;ROUND(A10,2)&amp;"+"&amp;ROUND(B10,2)&amp;"*"&amp;K9&amp;"+"&amp;ROUND(C10,2)&amp;"*"&amp;L9&amp;""</f>
        <v>915,33+5,33*δ1+-46,17*δ2</v>
      </c>
      <c r="C14" s="31"/>
      <c r="D14" s="31"/>
      <c r="E14" s="31"/>
      <c r="F14" s="31"/>
      <c r="G14" s="1"/>
      <c r="H14" s="23" t="s">
        <v>45</v>
      </c>
      <c r="I14" s="22">
        <f>B10/H10</f>
        <v>88.911235067433665</v>
      </c>
      <c r="J14" s="22">
        <f>ABS(I14)/$N$14</f>
        <v>3.8709689190085519</v>
      </c>
      <c r="K14" s="1" t="str">
        <f t="shared" ref="K14:K15" si="0">IF(J14&gt;$T$9,"+"," -")</f>
        <v>+</v>
      </c>
      <c r="L14" s="1" t="str">
        <f>IF(J14&gt;$T$9,"Значимое"," Не знач")</f>
        <v>Значимое</v>
      </c>
      <c r="M14" s="21" t="s">
        <v>31</v>
      </c>
      <c r="N14" s="21">
        <f>SQRT(N12/12)</f>
        <v>22.96872874148676</v>
      </c>
      <c r="P14" s="17">
        <f>L3</f>
        <v>984.66666666666663</v>
      </c>
      <c r="Q14" s="17">
        <v>-1</v>
      </c>
      <c r="R14" s="17">
        <v>-1</v>
      </c>
      <c r="S14" s="20">
        <f>IF(K$13="+", $A$10, 0)+IF(K$14="+", $B$10, 0)*Q14+IF(K$15="+", $C$10, 0)*R14</f>
        <v>956.16666666666663</v>
      </c>
      <c r="T14" s="20">
        <f>P14-S14</f>
        <v>28.5</v>
      </c>
      <c r="U14" s="17">
        <f>T14^2</f>
        <v>812.25</v>
      </c>
    </row>
    <row r="15" spans="1:21" x14ac:dyDescent="0.25">
      <c r="H15" s="23" t="s">
        <v>46</v>
      </c>
      <c r="I15" s="22">
        <f>C10/I10</f>
        <v>-769.01841457343392</v>
      </c>
      <c r="J15" s="22">
        <f>ABS(I15)/$N$14</f>
        <v>33.481104819894163</v>
      </c>
      <c r="K15" s="1" t="str">
        <f t="shared" si="0"/>
        <v>+</v>
      </c>
      <c r="L15" s="1" t="str">
        <f>IF(J15&gt;$T$9,"Значимое"," Не знач")</f>
        <v>Значимое</v>
      </c>
      <c r="P15" s="17">
        <f>L4</f>
        <v>835.33333333333337</v>
      </c>
      <c r="Q15" s="17">
        <v>-1</v>
      </c>
      <c r="R15" s="17">
        <v>1</v>
      </c>
      <c r="S15" s="20">
        <f t="shared" ref="S15:S17" si="1">IF(K$13="+", $A$10, 0)+IF(K$14="+", $B$10, 0)*Q15+IF(K$15="+", $C$10, 0)*R15</f>
        <v>863.83333333333337</v>
      </c>
      <c r="T15" s="20">
        <f t="shared" ref="T15:T17" si="2">P15-S15</f>
        <v>-28.5</v>
      </c>
      <c r="U15" s="17">
        <f>T15^2</f>
        <v>812.25</v>
      </c>
    </row>
    <row r="16" spans="1:21" x14ac:dyDescent="0.25">
      <c r="P16" s="19">
        <f>L5</f>
        <v>938.33333333333337</v>
      </c>
      <c r="Q16" s="17">
        <v>1</v>
      </c>
      <c r="R16" s="17">
        <v>-1</v>
      </c>
      <c r="S16" s="20">
        <f t="shared" si="1"/>
        <v>966.83333333333337</v>
      </c>
      <c r="T16" s="20">
        <f t="shared" si="2"/>
        <v>-28.5</v>
      </c>
      <c r="U16" s="17">
        <f>T16^2</f>
        <v>812.25</v>
      </c>
    </row>
    <row r="17" spans="12:21" x14ac:dyDescent="0.25">
      <c r="P17" s="17">
        <f>L6</f>
        <v>903</v>
      </c>
      <c r="Q17" s="17">
        <v>1</v>
      </c>
      <c r="R17" s="17">
        <v>1</v>
      </c>
      <c r="S17" s="20">
        <f t="shared" si="1"/>
        <v>874.50000000000011</v>
      </c>
      <c r="T17" s="20">
        <f t="shared" si="2"/>
        <v>28.499999999999886</v>
      </c>
      <c r="U17" s="17">
        <f>T17^2</f>
        <v>812.24999999999352</v>
      </c>
    </row>
    <row r="18" spans="12:21" x14ac:dyDescent="0.25">
      <c r="M18" s="24" t="s">
        <v>37</v>
      </c>
      <c r="N18" s="24" t="s">
        <v>38</v>
      </c>
      <c r="P18" s="1"/>
      <c r="Q18" s="1"/>
      <c r="R18" s="1"/>
      <c r="S18" s="1"/>
      <c r="T18" s="1"/>
      <c r="U18" s="1"/>
    </row>
    <row r="19" spans="12:21" x14ac:dyDescent="0.25">
      <c r="M19" s="24">
        <f>N12/U19</f>
        <v>7.7940904893813636</v>
      </c>
      <c r="N19" s="24">
        <v>239</v>
      </c>
      <c r="P19" s="1"/>
      <c r="Q19" s="1"/>
      <c r="R19" s="1"/>
      <c r="S19" s="1"/>
      <c r="T19" s="1"/>
      <c r="U19" s="16">
        <f>AVERAGE(U14:U17)</f>
        <v>812.24999999999841</v>
      </c>
    </row>
    <row r="20" spans="12:21" x14ac:dyDescent="0.25">
      <c r="M20" s="1"/>
      <c r="N20" s="1"/>
    </row>
    <row r="21" spans="12:21" x14ac:dyDescent="0.25">
      <c r="L21" s="29" t="str">
        <f>IF(M19&lt;$N$19,"Гипотеза не отвергается"," Гиппотеза отвергается")</f>
        <v>Гипотеза не отвергается</v>
      </c>
      <c r="M21" s="29"/>
      <c r="N21" s="29"/>
    </row>
  </sheetData>
  <mergeCells count="7">
    <mergeCell ref="L21:N21"/>
    <mergeCell ref="P12:U12"/>
    <mergeCell ref="B14:F14"/>
    <mergeCell ref="B1:C1"/>
    <mergeCell ref="D1:E1"/>
    <mergeCell ref="F1:H1"/>
    <mergeCell ref="I1:L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03" zoomScaleNormal="203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 Oqyude</cp:lastModifiedBy>
  <dcterms:created xsi:type="dcterms:W3CDTF">2015-06-05T18:19:34Z</dcterms:created>
  <dcterms:modified xsi:type="dcterms:W3CDTF">2026-03-17T10:30:09Z</dcterms:modified>
</cp:coreProperties>
</file>