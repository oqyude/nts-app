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FEBEE9-031C-4CCD-AE81-8A7CBE0E7402}" xr6:coauthVersionLast="47" xr6:coauthVersionMax="47" xr10:uidLastSave="{00000000-0000-0000-0000-000000000000}"/>
  <bookViews>
    <workbookView xWindow="38280" yWindow="-120" windowWidth="38640" windowHeight="21840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2" l="1"/>
  <c r="L10" i="2"/>
  <c r="K10" i="2"/>
  <c r="H10" i="2"/>
  <c r="A10" i="2"/>
  <c r="J2" i="1"/>
  <c r="P10" i="2"/>
  <c r="L6" i="2"/>
  <c r="P17" i="2" s="1"/>
  <c r="E6" i="2"/>
  <c r="D6" i="2"/>
  <c r="L5" i="2"/>
  <c r="P5" i="2" s="1"/>
  <c r="E5" i="2"/>
  <c r="D5" i="2"/>
  <c r="L4" i="2"/>
  <c r="P15" i="2" s="1"/>
  <c r="E4" i="2"/>
  <c r="D4" i="2"/>
  <c r="L3" i="2"/>
  <c r="E3" i="2"/>
  <c r="D3" i="2"/>
  <c r="A12" i="2" l="1"/>
  <c r="N4" i="2"/>
  <c r="O4" i="2"/>
  <c r="P4" i="2"/>
  <c r="F10" i="2"/>
  <c r="I10" i="2" s="1"/>
  <c r="E10" i="2"/>
  <c r="P3" i="2"/>
  <c r="O6" i="2"/>
  <c r="P6" i="2"/>
  <c r="N6" i="2"/>
  <c r="P16" i="2"/>
  <c r="O3" i="2"/>
  <c r="N5" i="2"/>
  <c r="P14" i="2"/>
  <c r="B12" i="2"/>
  <c r="B10" i="2" s="1"/>
  <c r="N3" i="2"/>
  <c r="O5" i="2"/>
  <c r="C12" i="2"/>
  <c r="C10" i="2" s="1"/>
  <c r="Q3" i="2" l="1"/>
  <c r="R3" i="2" s="1"/>
  <c r="Q5" i="2"/>
  <c r="B14" i="2"/>
  <c r="Q6" i="2"/>
  <c r="R6" i="2" s="1"/>
  <c r="Q4" i="2"/>
  <c r="R4" i="2" s="1"/>
  <c r="I15" i="2"/>
  <c r="I14" i="2"/>
  <c r="I13" i="2"/>
  <c r="R5" i="2"/>
  <c r="N14" i="2" l="1"/>
  <c r="J13" i="2" s="1"/>
  <c r="K13" i="2" s="1"/>
  <c r="J15" i="2" l="1"/>
  <c r="J14" i="2"/>
  <c r="L13" i="2"/>
  <c r="L15" i="2" l="1"/>
  <c r="K15" i="2"/>
  <c r="L14" i="2"/>
  <c r="K14" i="2"/>
  <c r="S14" i="2" l="1"/>
  <c r="T14" i="2" s="1"/>
  <c r="S15" i="2"/>
  <c r="T15" i="2" s="1"/>
  <c r="S16" i="2"/>
  <c r="T16" i="2" s="1"/>
  <c r="S17" i="2"/>
  <c r="T17" i="2" s="1"/>
  <c r="C2" i="1"/>
  <c r="B6" i="1" l="1"/>
  <c r="A15" i="1" s="1"/>
  <c r="U17" i="2"/>
  <c r="U14" i="2"/>
  <c r="U16" i="2"/>
  <c r="U15" i="2"/>
  <c r="B7" i="1"/>
  <c r="A16" i="1" s="1"/>
  <c r="B5" i="1"/>
  <c r="A14" i="1" s="1"/>
  <c r="B4" i="1"/>
  <c r="A13" i="1" s="1"/>
  <c r="B3" i="1"/>
  <c r="A12" i="1" s="1"/>
  <c r="B2" i="1"/>
  <c r="A11" i="1" s="1"/>
  <c r="B9" i="1"/>
  <c r="A18" i="1" s="1"/>
  <c r="B8" i="1"/>
  <c r="A17" i="1" s="1"/>
  <c r="U19" i="2" l="1"/>
  <c r="D2" i="1"/>
  <c r="M19" i="2" l="1"/>
  <c r="L21" i="2" s="1"/>
  <c r="E2" i="1"/>
  <c r="G2" i="1" s="1"/>
  <c r="G7" i="1"/>
  <c r="F8" i="1" s="1"/>
  <c r="J7" i="1"/>
  <c r="I8" i="1" s="1"/>
  <c r="K2" i="1" l="1"/>
  <c r="I2" i="1"/>
</calcChain>
</file>

<file path=xl/sharedStrings.xml><?xml version="1.0" encoding="utf-8"?>
<sst xmlns="http://schemas.openxmlformats.org/spreadsheetml/2006/main" count="65" uniqueCount="59">
  <si>
    <t>xср.</t>
  </si>
  <si>
    <t>S</t>
  </si>
  <si>
    <t>x1</t>
  </si>
  <si>
    <t>х0</t>
  </si>
  <si>
    <t>Sx ср</t>
  </si>
  <si>
    <t>G1</t>
  </si>
  <si>
    <t>G2</t>
  </si>
  <si>
    <t>Gт</t>
  </si>
  <si>
    <t>№ опыта</t>
  </si>
  <si>
    <t>План вкодированных переменных</t>
  </si>
  <si>
    <t>План в отношениях</t>
  </si>
  <si>
    <t>Z1</t>
  </si>
  <si>
    <t>Z2</t>
  </si>
  <si>
    <t>План в исходных перемещениях</t>
  </si>
  <si>
    <t>х1</t>
  </si>
  <si>
    <t>х2</t>
  </si>
  <si>
    <t>х3</t>
  </si>
  <si>
    <t>Отклик</t>
  </si>
  <si>
    <t>у2</t>
  </si>
  <si>
    <t>у3</t>
  </si>
  <si>
    <t>уср.</t>
  </si>
  <si>
    <t>b0</t>
  </si>
  <si>
    <t>b1</t>
  </si>
  <si>
    <t>b2</t>
  </si>
  <si>
    <t>δ1</t>
  </si>
  <si>
    <t>δ2</t>
  </si>
  <si>
    <t>Y=</t>
  </si>
  <si>
    <t>у₁</t>
  </si>
  <si>
    <r>
      <t>S</t>
    </r>
    <r>
      <rPr>
        <sz val="11"/>
        <color theme="1"/>
        <rFont val="Calibri"/>
        <family val="2"/>
        <charset val="204"/>
      </rPr>
      <t>₁</t>
    </r>
    <r>
      <rPr>
        <sz val="16.95"/>
        <color theme="1"/>
        <rFont val="Calibri"/>
        <family val="2"/>
        <charset val="204"/>
      </rPr>
      <t>²</t>
    </r>
  </si>
  <si>
    <r>
      <t>S</t>
    </r>
    <r>
      <rPr>
        <sz val="11"/>
        <color theme="1"/>
        <rFont val="Calibri"/>
        <family val="2"/>
        <charset val="204"/>
      </rPr>
      <t>₂</t>
    </r>
    <r>
      <rPr>
        <sz val="16.95"/>
        <color theme="1"/>
        <rFont val="Calibri"/>
        <family val="2"/>
        <charset val="204"/>
      </rPr>
      <t>²</t>
    </r>
  </si>
  <si>
    <r>
      <t>S</t>
    </r>
    <r>
      <rPr>
        <sz val="11"/>
        <color theme="1"/>
        <rFont val="Calibri"/>
        <family val="2"/>
        <charset val="204"/>
      </rPr>
      <t>₃</t>
    </r>
    <r>
      <rPr>
        <sz val="16.95"/>
        <color theme="1"/>
        <rFont val="Calibri"/>
        <family val="2"/>
        <charset val="204"/>
      </rPr>
      <t>²</t>
    </r>
  </si>
  <si>
    <t>G</t>
  </si>
  <si>
    <t>Gкрит</t>
  </si>
  <si>
    <r>
      <t>V</t>
    </r>
    <r>
      <rPr>
        <sz val="11"/>
        <color theme="1"/>
        <rFont val="Calibri"/>
        <family val="2"/>
        <charset val="204"/>
      </rPr>
      <t>₁</t>
    </r>
  </si>
  <si>
    <r>
      <t>V</t>
    </r>
    <r>
      <rPr>
        <sz val="11"/>
        <color theme="1"/>
        <rFont val="Calibri"/>
        <family val="2"/>
        <charset val="204"/>
      </rPr>
      <t>₂</t>
    </r>
  </si>
  <si>
    <t>q</t>
  </si>
  <si>
    <t>в</t>
  </si>
  <si>
    <t>t</t>
  </si>
  <si>
    <t>S^2_вос</t>
  </si>
  <si>
    <t>S_в</t>
  </si>
  <si>
    <t>t_крит</t>
  </si>
  <si>
    <t>у_ср</t>
  </si>
  <si>
    <t>y</t>
  </si>
  <si>
    <t>у ср-у</t>
  </si>
  <si>
    <t>(у ср-у)^2</t>
  </si>
  <si>
    <t>F</t>
  </si>
  <si>
    <t>F_крит</t>
  </si>
  <si>
    <t>Итог</t>
  </si>
  <si>
    <r>
      <t>Pz</t>
    </r>
    <r>
      <rPr>
        <sz val="11"/>
        <color theme="1"/>
        <rFont val="Calibri"/>
        <family val="2"/>
        <charset val="204"/>
      </rPr>
      <t>₂</t>
    </r>
  </si>
  <si>
    <r>
      <t>Pz</t>
    </r>
    <r>
      <rPr>
        <sz val="11"/>
        <color theme="1"/>
        <rFont val="Calibri"/>
        <family val="2"/>
        <charset val="204"/>
      </rPr>
      <t>₁</t>
    </r>
  </si>
  <si>
    <r>
      <t>z</t>
    </r>
    <r>
      <rPr>
        <sz val="11"/>
        <color theme="1"/>
        <rFont val="Calibri"/>
        <family val="2"/>
        <charset val="204"/>
      </rPr>
      <t>₁</t>
    </r>
    <r>
      <rPr>
        <sz val="11"/>
        <color theme="1"/>
        <rFont val="Calibri"/>
        <family val="2"/>
        <scheme val="minor"/>
      </rPr>
      <t>ср.</t>
    </r>
  </si>
  <si>
    <r>
      <t>z</t>
    </r>
    <r>
      <rPr>
        <sz val="11"/>
        <color theme="1"/>
        <rFont val="Calibri"/>
        <family val="2"/>
        <charset val="204"/>
      </rPr>
      <t>₂</t>
    </r>
    <r>
      <rPr>
        <sz val="11"/>
        <color theme="1"/>
        <rFont val="Calibri"/>
        <family val="2"/>
        <scheme val="minor"/>
      </rPr>
      <t>ср.</t>
    </r>
  </si>
  <si>
    <t>b₀</t>
  </si>
  <si>
    <t>b₁</t>
  </si>
  <si>
    <t>b₂</t>
  </si>
  <si>
    <t>Δ</t>
  </si>
  <si>
    <t>Xср. max</t>
  </si>
  <si>
    <t>Xср. min</t>
  </si>
  <si>
    <t>- Двухсторонний доверительный интервал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</si>
</sst>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8"/>
      <name val="Calibri"/>
      <family val="2"/>
      <scheme val="minor"/>
    </font>
    <font>
      <sz val="16.95"/>
      <color theme="1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B012E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 applyAlignment="1">
      <alignment horizontal="center" vertical="center"/>
    </xf>
    <xf numFmtId="0" fontId="4" fillId="0" borderId="0" xfId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/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colors>
    <mruColors>
      <color rgb="FFB012E2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170830</xdr:colOff>
      <xdr:row>9</xdr:row>
      <xdr:rowOff>62120</xdr:rowOff>
    </xdr:from>
    <xdr:to>
      <xdr:col>3</xdr:col>
      <xdr:colOff>254252</xdr:colOff>
      <xdr:row>16</xdr:row>
      <xdr:rowOff>16954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DCEB23C-BD62-52E0-5CC7-6C2DE22ED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72" y="1993003"/>
          <a:ext cx="1305107" cy="12955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43296</xdr:rowOff>
    </xdr:from>
    <xdr:to>
      <xdr:col>4</xdr:col>
      <xdr:colOff>321624</xdr:colOff>
      <xdr:row>24</xdr:row>
      <xdr:rowOff>164356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31B5835-759A-515F-7576-D9DF238BB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22419"/>
          <a:ext cx="2146218" cy="1846693"/>
        </a:xfrm>
        <a:prstGeom prst="rect">
          <a:avLst/>
        </a:prstGeom>
      </xdr:spPr>
    </xdr:pic>
    <xdr:clientData/>
  </xdr:twoCellAnchor>
  <xdr:twoCellAnchor editAs="oneCell">
    <xdr:from>
      <xdr:col>4</xdr:col>
      <xdr:colOff>346365</xdr:colOff>
      <xdr:row>15</xdr:row>
      <xdr:rowOff>98962</xdr:rowOff>
    </xdr:from>
    <xdr:to>
      <xdr:col>10</xdr:col>
      <xdr:colOff>500990</xdr:colOff>
      <xdr:row>31</xdr:row>
      <xdr:rowOff>108208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A586F39-2F4C-FE06-68F3-23FB8A2E5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0959" y="3278085"/>
          <a:ext cx="3723408" cy="30770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zoomScale="184" zoomScaleNormal="184" workbookViewId="0">
      <selection activeCell="L2" sqref="L2"/>
    </sheetView>
  </sheetViews>
  <sheetFormatPr defaultRowHeight="15" x14ac:dyDescent="0.25"/>
  <cols>
    <col min="5" max="5" width="11.42578125" customWidth="1"/>
    <col min="6" max="6" width="7.5703125" customWidth="1"/>
    <col min="8" max="8" width="6.5703125" customWidth="1"/>
  </cols>
  <sheetData>
    <row r="1" spans="1:18" x14ac:dyDescent="0.25">
      <c r="A1" s="1" t="s">
        <v>3</v>
      </c>
      <c r="B1" s="1" t="s">
        <v>2</v>
      </c>
      <c r="C1" s="1" t="s">
        <v>0</v>
      </c>
      <c r="D1" s="1" t="s">
        <v>1</v>
      </c>
      <c r="E1" s="1" t="s">
        <v>4</v>
      </c>
      <c r="F1" s="1" t="s">
        <v>37</v>
      </c>
      <c r="G1" s="26" t="s">
        <v>55</v>
      </c>
      <c r="I1" s="1" t="s">
        <v>56</v>
      </c>
      <c r="J1" s="1" t="s">
        <v>0</v>
      </c>
      <c r="K1" s="1" t="s">
        <v>57</v>
      </c>
      <c r="N1" s="1"/>
      <c r="O1" s="1"/>
      <c r="P1" s="1"/>
      <c r="Q1" s="1"/>
      <c r="R1" s="1"/>
    </row>
    <row r="2" spans="1:18" x14ac:dyDescent="0.25">
      <c r="A2" s="2">
        <v>4.3759999999999994</v>
      </c>
      <c r="B2" s="2">
        <f t="shared" ref="B2:B9" si="0">A2-$C$2</f>
        <v>0.25387499999999985</v>
      </c>
      <c r="C2" s="2">
        <f>AVERAGE(A2:A9)</f>
        <v>4.1221249999999996</v>
      </c>
      <c r="D2" s="2">
        <f>SQRT(SUM(A11:A18)/7)</f>
        <v>0.21087873123127956</v>
      </c>
      <c r="E2" s="2">
        <f>D2/SQRT(8)</f>
        <v>7.4556890430826583E-2</v>
      </c>
      <c r="F2">
        <v>2.3650000000000002</v>
      </c>
      <c r="G2" s="1">
        <f>F2*E2</f>
        <v>0.17632704586890488</v>
      </c>
      <c r="I2" s="2">
        <f>C2+G2</f>
        <v>4.2984520458689044</v>
      </c>
      <c r="J2" s="2">
        <f>AVERAGE(A2:A9)</f>
        <v>4.1221249999999996</v>
      </c>
      <c r="K2" s="2">
        <f>C2-G2</f>
        <v>3.9457979541310948</v>
      </c>
      <c r="L2" s="27" t="s">
        <v>58</v>
      </c>
      <c r="N2" s="1"/>
      <c r="O2" s="1"/>
      <c r="P2" s="1"/>
      <c r="Q2" s="1"/>
      <c r="R2" s="1"/>
    </row>
    <row r="3" spans="1:18" x14ac:dyDescent="0.25">
      <c r="A3" s="2">
        <v>3.9870000000000001</v>
      </c>
      <c r="B3" s="2">
        <f t="shared" si="0"/>
        <v>-0.1351249999999995</v>
      </c>
      <c r="C3" s="1"/>
      <c r="D3" s="1"/>
      <c r="H3" s="1"/>
      <c r="I3" s="1"/>
      <c r="J3" s="1"/>
      <c r="K3" s="1"/>
      <c r="L3" s="1"/>
      <c r="M3" s="2"/>
      <c r="N3" s="1"/>
      <c r="O3" s="1"/>
      <c r="P3" s="1"/>
      <c r="Q3" s="1"/>
      <c r="R3" s="1"/>
    </row>
    <row r="4" spans="1:18" x14ac:dyDescent="0.25">
      <c r="A4" s="2">
        <v>4.2149999999999999</v>
      </c>
      <c r="B4" s="2">
        <f t="shared" si="0"/>
        <v>9.2875000000000263E-2</v>
      </c>
      <c r="C4" s="1"/>
      <c r="D4" s="1" t="s">
        <v>7</v>
      </c>
      <c r="F4" s="1"/>
      <c r="G4" s="1"/>
      <c r="H4" s="1"/>
      <c r="I4" s="1"/>
      <c r="K4" s="1"/>
      <c r="L4" s="1"/>
      <c r="M4" s="2"/>
      <c r="N4" s="1"/>
      <c r="O4" s="1"/>
      <c r="P4" s="1"/>
      <c r="Q4" s="1"/>
      <c r="R4" s="1"/>
    </row>
    <row r="5" spans="1:18" x14ac:dyDescent="0.25">
      <c r="A5" s="2">
        <v>4.258</v>
      </c>
      <c r="B5" s="2">
        <f t="shared" si="0"/>
        <v>0.13587500000000041</v>
      </c>
      <c r="C5" s="1"/>
      <c r="D5" s="1">
        <v>2.1259999999999999</v>
      </c>
      <c r="E5" s="1"/>
      <c r="F5" s="1"/>
      <c r="G5" s="1"/>
      <c r="H5" s="1"/>
      <c r="I5" s="1"/>
      <c r="J5" s="1"/>
      <c r="K5" s="1"/>
      <c r="L5" s="1"/>
      <c r="M5" s="2"/>
      <c r="N5" s="1"/>
      <c r="O5" s="1"/>
      <c r="P5" s="1"/>
      <c r="Q5" s="1"/>
      <c r="R5" s="1"/>
    </row>
    <row r="6" spans="1:18" x14ac:dyDescent="0.25">
      <c r="A6" s="2">
        <v>4.2629999999999999</v>
      </c>
      <c r="B6" s="2">
        <f t="shared" si="0"/>
        <v>0.14087500000000031</v>
      </c>
      <c r="C6" s="1"/>
      <c r="D6" s="1"/>
      <c r="E6" s="1"/>
      <c r="F6" s="1"/>
      <c r="G6" s="1" t="s">
        <v>5</v>
      </c>
      <c r="I6" s="1"/>
      <c r="J6" s="1" t="s">
        <v>6</v>
      </c>
      <c r="K6" s="1"/>
      <c r="L6" s="1"/>
      <c r="M6" s="2"/>
      <c r="N6" s="1"/>
      <c r="O6" s="1"/>
      <c r="P6" s="1"/>
      <c r="Q6" s="1"/>
      <c r="R6" s="1"/>
    </row>
    <row r="7" spans="1:18" x14ac:dyDescent="0.25">
      <c r="A7" s="2">
        <v>4.0049999999999999</v>
      </c>
      <c r="B7" s="2">
        <f t="shared" si="0"/>
        <v>-0.1171249999999997</v>
      </c>
      <c r="C7" s="1"/>
      <c r="D7" s="1"/>
      <c r="E7" s="1"/>
      <c r="F7" s="1"/>
      <c r="G7" s="2">
        <f>ABS(A2-C2)/D2</f>
        <v>1.2038909686039625</v>
      </c>
      <c r="I7" s="1"/>
      <c r="J7" s="2">
        <f>ABS(A9-C2)/D2</f>
        <v>1.9353540189522089</v>
      </c>
      <c r="K7" s="1"/>
      <c r="L7" s="1"/>
      <c r="M7" s="2"/>
      <c r="N7" s="1"/>
      <c r="O7" s="1"/>
      <c r="P7" s="1"/>
      <c r="Q7" s="1"/>
      <c r="R7" s="1"/>
    </row>
    <row r="8" spans="1:18" ht="31.5" customHeight="1" x14ac:dyDescent="0.25">
      <c r="A8" s="2">
        <v>4.1589999999999998</v>
      </c>
      <c r="B8" s="2">
        <f t="shared" si="0"/>
        <v>3.6875000000000213E-2</v>
      </c>
      <c r="C8" s="1"/>
      <c r="D8" s="1"/>
      <c r="E8" s="1"/>
      <c r="F8" s="37" t="str">
        <f>IF(G7&lt;$D$5,"Значение признаётся истинным"," Грубая ошибка, исключение из выборки")</f>
        <v>Значение признаётся истинным</v>
      </c>
      <c r="G8" s="37"/>
      <c r="H8" s="37"/>
      <c r="I8" s="37" t="str">
        <f>IF(J7&lt;$D$5,"Значение признаётся истинным"," Грубая ошибка, исключение из выборки")</f>
        <v>Значение признаётся истинным</v>
      </c>
      <c r="J8" s="37"/>
      <c r="K8" s="37"/>
      <c r="L8" s="1"/>
      <c r="M8" s="2"/>
      <c r="N8" s="1"/>
      <c r="O8" s="1"/>
      <c r="P8" s="1"/>
      <c r="Q8" s="1"/>
      <c r="R8" s="1"/>
    </row>
    <row r="9" spans="1:18" x14ac:dyDescent="0.25">
      <c r="A9" s="2">
        <v>3.714</v>
      </c>
      <c r="B9" s="2">
        <f t="shared" si="0"/>
        <v>-0.40812499999999963</v>
      </c>
      <c r="C9" s="1"/>
      <c r="D9" s="1"/>
      <c r="E9" s="1"/>
      <c r="F9" s="1"/>
      <c r="G9" s="1"/>
      <c r="H9" s="1"/>
      <c r="I9" s="1"/>
      <c r="J9" s="1"/>
      <c r="K9" s="1"/>
      <c r="L9" s="1"/>
      <c r="M9" s="2"/>
      <c r="N9" s="1"/>
      <c r="O9" s="1"/>
      <c r="P9" s="1"/>
      <c r="Q9" s="1"/>
      <c r="R9" s="1"/>
    </row>
    <row r="10" spans="1:18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2">
        <f>B2*B2</f>
        <v>6.4452515624999929E-2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" customHeight="1" x14ac:dyDescent="0.25">
      <c r="A12" s="2">
        <f t="shared" ref="A12:A18" si="1">B3*B3</f>
        <v>1.8258765624999864E-2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2">
        <f t="shared" si="1"/>
        <v>8.6257656250000488E-3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2">
        <f t="shared" si="1"/>
        <v>1.8462015625000112E-2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2">
        <f t="shared" si="1"/>
        <v>1.9845765625000088E-2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2">
        <f t="shared" si="1"/>
        <v>1.3718265624999931E-2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2">
        <f t="shared" si="1"/>
        <v>1.3597656250000157E-3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2">
        <f t="shared" si="1"/>
        <v>0.1665660156249997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2">
    <mergeCell ref="F8:H8"/>
    <mergeCell ref="I8:K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tabSelected="1" zoomScale="184" zoomScaleNormal="184" workbookViewId="0">
      <selection activeCell="M19" sqref="M19"/>
    </sheetView>
  </sheetViews>
  <sheetFormatPr defaultRowHeight="15" x14ac:dyDescent="0.25"/>
  <cols>
    <col min="1" max="1" width="9.140625" bestFit="1" customWidth="1"/>
    <col min="2" max="2" width="5.28515625" bestFit="1" customWidth="1"/>
    <col min="3" max="3" width="3.7109375" bestFit="1" customWidth="1"/>
    <col min="6" max="6" width="10.42578125" customWidth="1"/>
    <col min="7" max="7" width="6.42578125" bestFit="1" customWidth="1"/>
    <col min="19" max="19" width="10.28515625" bestFit="1" customWidth="1"/>
  </cols>
  <sheetData>
    <row r="1" spans="1:21" ht="28.9" customHeight="1" x14ac:dyDescent="0.25">
      <c r="A1" s="7" t="s">
        <v>8</v>
      </c>
      <c r="B1" s="35" t="s">
        <v>9</v>
      </c>
      <c r="C1" s="35"/>
      <c r="D1" s="36" t="s">
        <v>10</v>
      </c>
      <c r="E1" s="36"/>
      <c r="F1" s="35" t="s">
        <v>13</v>
      </c>
      <c r="G1" s="35"/>
      <c r="H1" s="35"/>
      <c r="I1" s="36" t="s">
        <v>17</v>
      </c>
      <c r="J1" s="36"/>
      <c r="K1" s="36"/>
      <c r="L1" s="36"/>
      <c r="M1" s="1"/>
    </row>
    <row r="2" spans="1:21" ht="23.25" thickBot="1" x14ac:dyDescent="0.3">
      <c r="A2" s="7"/>
      <c r="B2" s="8" t="s">
        <v>24</v>
      </c>
      <c r="C2" s="8" t="s">
        <v>25</v>
      </c>
      <c r="D2" s="7" t="s">
        <v>11</v>
      </c>
      <c r="E2" s="7" t="s">
        <v>12</v>
      </c>
      <c r="F2" s="7" t="s">
        <v>14</v>
      </c>
      <c r="G2" s="7" t="s">
        <v>15</v>
      </c>
      <c r="H2" s="7" t="s">
        <v>16</v>
      </c>
      <c r="I2" s="7" t="s">
        <v>27</v>
      </c>
      <c r="J2" s="7" t="s">
        <v>18</v>
      </c>
      <c r="K2" s="7" t="s">
        <v>19</v>
      </c>
      <c r="L2" s="7" t="s">
        <v>20</v>
      </c>
      <c r="M2" s="1"/>
      <c r="N2" s="7" t="s">
        <v>28</v>
      </c>
      <c r="O2" s="7" t="s">
        <v>29</v>
      </c>
      <c r="P2" s="7" t="s">
        <v>30</v>
      </c>
      <c r="Q2" s="7" t="s">
        <v>31</v>
      </c>
    </row>
    <row r="3" spans="1:21" ht="15.75" thickBot="1" x14ac:dyDescent="0.3">
      <c r="A3" s="7">
        <v>1</v>
      </c>
      <c r="B3" s="7">
        <v>-1</v>
      </c>
      <c r="C3" s="7">
        <v>-1</v>
      </c>
      <c r="D3" s="7">
        <f>F3/G3</f>
        <v>0.84000752021056591</v>
      </c>
      <c r="E3" s="7">
        <f>H3/G3</f>
        <v>4.0045121263395378E-2</v>
      </c>
      <c r="F3" s="28">
        <v>44.68</v>
      </c>
      <c r="G3" s="29">
        <v>53.19</v>
      </c>
      <c r="H3" s="29">
        <v>2.13</v>
      </c>
      <c r="I3" s="28">
        <v>974</v>
      </c>
      <c r="J3" s="29">
        <v>1079</v>
      </c>
      <c r="K3" s="29">
        <v>901</v>
      </c>
      <c r="L3" s="7">
        <f>AVERAGE(I3,J3,K3)</f>
        <v>984.66666666666663</v>
      </c>
      <c r="M3" s="1"/>
      <c r="N3" s="14">
        <f>(L3-I3)^2</f>
        <v>113.77777777777698</v>
      </c>
      <c r="O3" s="14">
        <f>(L3-J3)^2</f>
        <v>8898.7777777777846</v>
      </c>
      <c r="P3" s="14">
        <f>(L3-K3)^2</f>
        <v>7000.1111111111049</v>
      </c>
      <c r="Q3" s="14">
        <f>MAX(N3:P3)/SUM(N3:P3)</f>
        <v>0.5557336553006651</v>
      </c>
      <c r="R3" s="16" t="str">
        <f>IF(Q3&lt;$N$10,"OK"," not OK")</f>
        <v>OK</v>
      </c>
    </row>
    <row r="4" spans="1:21" ht="15.75" thickBot="1" x14ac:dyDescent="0.3">
      <c r="A4" s="7">
        <v>2</v>
      </c>
      <c r="B4" s="7">
        <v>-1</v>
      </c>
      <c r="C4" s="7">
        <v>1</v>
      </c>
      <c r="D4" s="7">
        <f>F4/G4</f>
        <v>0.84</v>
      </c>
      <c r="E4" s="7">
        <f>H4/G4</f>
        <v>0.16</v>
      </c>
      <c r="F4" s="30">
        <v>42</v>
      </c>
      <c r="G4" s="31">
        <v>50</v>
      </c>
      <c r="H4" s="31">
        <v>8</v>
      </c>
      <c r="I4" s="30">
        <v>822</v>
      </c>
      <c r="J4" s="31">
        <v>902</v>
      </c>
      <c r="K4" s="31">
        <v>782</v>
      </c>
      <c r="L4" s="7">
        <f>AVERAGE(I4,J4,K4)</f>
        <v>835.33333333333337</v>
      </c>
      <c r="M4" s="1"/>
      <c r="N4" s="14">
        <f>(L4-I4)^2</f>
        <v>177.77777777777879</v>
      </c>
      <c r="O4" s="14">
        <f>(L4-J4)^2</f>
        <v>4444.4444444444398</v>
      </c>
      <c r="P4" s="14">
        <f>(L4-K4)^2</f>
        <v>2844.4444444444484</v>
      </c>
      <c r="Q4" s="14">
        <f>MAX(N4:P4)/SUM(N4:P4)</f>
        <v>0.59523809523809457</v>
      </c>
      <c r="R4" s="16" t="str">
        <f>IF(Q4&lt;$N$10,"OK"," not OK")</f>
        <v>OK</v>
      </c>
    </row>
    <row r="5" spans="1:21" ht="15.75" thickBot="1" x14ac:dyDescent="0.3">
      <c r="A5" s="7">
        <v>3</v>
      </c>
      <c r="B5" s="7">
        <v>1</v>
      </c>
      <c r="C5" s="7">
        <v>-1</v>
      </c>
      <c r="D5" s="7">
        <f>F5/G5</f>
        <v>0.96</v>
      </c>
      <c r="E5" s="7">
        <f>H5/G5</f>
        <v>0.04</v>
      </c>
      <c r="F5" s="30">
        <v>48</v>
      </c>
      <c r="G5" s="31">
        <v>50</v>
      </c>
      <c r="H5" s="31">
        <v>2</v>
      </c>
      <c r="I5" s="30">
        <v>883</v>
      </c>
      <c r="J5" s="31">
        <v>1046</v>
      </c>
      <c r="K5" s="31">
        <v>886</v>
      </c>
      <c r="L5" s="9">
        <f>AVERAGE(I5,J5,K5)</f>
        <v>938.33333333333337</v>
      </c>
      <c r="M5" s="1"/>
      <c r="N5" s="14">
        <f>(L5-I5)^2</f>
        <v>3061.7777777777819</v>
      </c>
      <c r="O5" s="14">
        <f>(L5-J5)^2</f>
        <v>11592.111111111102</v>
      </c>
      <c r="P5" s="14">
        <f>(L5-K5)^2</f>
        <v>2738.7777777777819</v>
      </c>
      <c r="Q5" s="14">
        <f>MAX(N5:P5)/SUM(N5:P5)</f>
        <v>0.6664941801781078</v>
      </c>
      <c r="R5" s="16" t="str">
        <f>IF(Q5&lt;$N$10,"OK"," not OK")</f>
        <v>OK</v>
      </c>
    </row>
    <row r="6" spans="1:21" ht="15.75" thickBot="1" x14ac:dyDescent="0.3">
      <c r="A6" s="7">
        <v>4</v>
      </c>
      <c r="B6" s="7">
        <v>1</v>
      </c>
      <c r="C6" s="7">
        <v>1</v>
      </c>
      <c r="D6" s="7">
        <f>F6/G6</f>
        <v>0.95993216027135886</v>
      </c>
      <c r="E6" s="7">
        <f>H6/G6</f>
        <v>0.16005935976256094</v>
      </c>
      <c r="F6" s="30">
        <v>45.28</v>
      </c>
      <c r="G6" s="31">
        <v>47.17</v>
      </c>
      <c r="H6" s="31">
        <v>7.55</v>
      </c>
      <c r="I6" s="30">
        <v>846</v>
      </c>
      <c r="J6" s="31">
        <v>981</v>
      </c>
      <c r="K6" s="31">
        <v>882</v>
      </c>
      <c r="L6" s="7">
        <f>AVERAGE(I6,J6,K6)</f>
        <v>903</v>
      </c>
      <c r="M6" s="1"/>
      <c r="N6" s="14">
        <f>(L6-I6)^2</f>
        <v>3249</v>
      </c>
      <c r="O6" s="14">
        <f>(L6-J6)^2</f>
        <v>6084</v>
      </c>
      <c r="P6" s="14">
        <f>(L6-K6)^2</f>
        <v>441</v>
      </c>
      <c r="Q6" s="14">
        <f>MAX(N6:P6)/SUM(N6:P6)</f>
        <v>0.62246777163904232</v>
      </c>
      <c r="R6" s="16" t="str">
        <f>IF(Q6&lt;$N$10,"OK"," not OK")</f>
        <v>OK</v>
      </c>
    </row>
    <row r="7" spans="1:21" x14ac:dyDescent="0.25">
      <c r="A7" s="7"/>
      <c r="B7" s="7"/>
      <c r="C7" s="7"/>
      <c r="D7" s="7"/>
      <c r="E7" s="7"/>
      <c r="F7" s="7"/>
      <c r="G7" s="7"/>
      <c r="H7" s="7"/>
      <c r="I7" s="7"/>
      <c r="J7" s="13"/>
      <c r="K7" s="13"/>
      <c r="L7" s="7"/>
      <c r="M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L8" s="1"/>
      <c r="M8" s="1"/>
    </row>
    <row r="9" spans="1:21" x14ac:dyDescent="0.25">
      <c r="A9" s="6" t="s">
        <v>21</v>
      </c>
      <c r="B9" s="6" t="s">
        <v>22</v>
      </c>
      <c r="C9" s="6" t="s">
        <v>23</v>
      </c>
      <c r="D9" s="1"/>
      <c r="E9" s="4" t="s">
        <v>50</v>
      </c>
      <c r="F9" s="4" t="s">
        <v>51</v>
      </c>
      <c r="G9" s="1"/>
      <c r="H9" s="3" t="s">
        <v>49</v>
      </c>
      <c r="I9" s="3" t="s">
        <v>48</v>
      </c>
      <c r="J9" s="1"/>
      <c r="K9" s="10" t="s">
        <v>24</v>
      </c>
      <c r="L9" s="10" t="s">
        <v>25</v>
      </c>
      <c r="M9" s="1"/>
      <c r="N9" s="7" t="s">
        <v>32</v>
      </c>
      <c r="O9" s="7" t="s">
        <v>33</v>
      </c>
      <c r="P9" s="7" t="s">
        <v>34</v>
      </c>
      <c r="Q9" s="7" t="s">
        <v>35</v>
      </c>
      <c r="S9" s="1" t="s">
        <v>40</v>
      </c>
      <c r="T9" s="1">
        <v>2.306</v>
      </c>
    </row>
    <row r="10" spans="1:21" x14ac:dyDescent="0.25">
      <c r="A10" s="6">
        <f>A12</f>
        <v>915.33333333333337</v>
      </c>
      <c r="B10" s="6">
        <f>B12</f>
        <v>5.3333333333333428</v>
      </c>
      <c r="C10" s="6">
        <f>C12</f>
        <v>-46.166666666666629</v>
      </c>
      <c r="D10" s="1"/>
      <c r="E10" s="5">
        <f>SUM(D3:D6)/4</f>
        <v>0.89998492012048126</v>
      </c>
      <c r="F10" s="5">
        <f>SUM(E3:E6)/4</f>
        <v>0.10002612025648908</v>
      </c>
      <c r="G10" s="1"/>
      <c r="H10" s="3">
        <f>E10-MIN(D3:D6)</f>
        <v>5.9984920120481289E-2</v>
      </c>
      <c r="I10" s="3">
        <f>MAX(E3:E6)-F10</f>
        <v>6.0033239506071867E-2</v>
      </c>
      <c r="J10" s="1"/>
      <c r="K10" s="11">
        <f>((F3/G3)-E10)/H10</f>
        <v>-0.99987463164824042</v>
      </c>
      <c r="L10" s="11">
        <f>(E3-F10)/I10</f>
        <v>-0.99912980686353126</v>
      </c>
      <c r="M10" s="1"/>
      <c r="N10" s="7">
        <v>0.76790000000000003</v>
      </c>
      <c r="O10" s="7">
        <v>2</v>
      </c>
      <c r="P10" s="7">
        <f>4</f>
        <v>4</v>
      </c>
      <c r="Q10" s="15">
        <v>0.05</v>
      </c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21" x14ac:dyDescent="0.25">
      <c r="A12" s="7">
        <f>SUM(L3:L6)/4</f>
        <v>915.33333333333337</v>
      </c>
      <c r="B12" s="7">
        <f>(-L3-L4+L5+L6)/4</f>
        <v>5.3333333333333428</v>
      </c>
      <c r="C12" s="7">
        <f>(-L3+L4-L5+L6)/4</f>
        <v>-46.166666666666629</v>
      </c>
      <c r="G12" s="1"/>
      <c r="H12" s="23"/>
      <c r="I12" s="23" t="s">
        <v>36</v>
      </c>
      <c r="J12" s="23" t="s">
        <v>37</v>
      </c>
      <c r="K12" s="1"/>
      <c r="M12" s="22" t="s">
        <v>38</v>
      </c>
      <c r="N12" s="22">
        <f>SUM(N3:P6)/8</f>
        <v>6330.75</v>
      </c>
      <c r="P12" s="33" t="s">
        <v>47</v>
      </c>
      <c r="Q12" s="33"/>
      <c r="R12" s="33"/>
      <c r="S12" s="33"/>
      <c r="T12" s="33"/>
      <c r="U12" s="33"/>
    </row>
    <row r="13" spans="1:21" x14ac:dyDescent="0.25">
      <c r="G13" s="1"/>
      <c r="H13" s="23" t="s">
        <v>52</v>
      </c>
      <c r="I13" s="23">
        <f>A10+B10*(-1)*E10/H10+C10*F10*(-1)/I10</f>
        <v>912.23649095893268</v>
      </c>
      <c r="J13" s="23">
        <f>ABS(I13)/$N$14</f>
        <v>39.716455413190786</v>
      </c>
      <c r="K13" s="1" t="str">
        <f>IF(J13&gt;$T$9,"+"," -")</f>
        <v>+</v>
      </c>
      <c r="L13" s="1" t="str">
        <f>IF(J13&gt;$T$9,"Значимое"," Не знач")</f>
        <v>Значимое</v>
      </c>
      <c r="M13" s="1"/>
      <c r="N13" s="1"/>
      <c r="P13" s="18" t="s">
        <v>41</v>
      </c>
      <c r="Q13" s="19" t="s">
        <v>24</v>
      </c>
      <c r="R13" s="19" t="s">
        <v>25</v>
      </c>
      <c r="S13" s="18" t="s">
        <v>42</v>
      </c>
      <c r="T13" s="18" t="s">
        <v>43</v>
      </c>
      <c r="U13" s="18" t="s">
        <v>44</v>
      </c>
    </row>
    <row r="14" spans="1:21" x14ac:dyDescent="0.25">
      <c r="A14" s="12" t="s">
        <v>26</v>
      </c>
      <c r="B14" s="34" t="str">
        <f>""&amp;ROUND(A10,2)&amp;"+"&amp;ROUND(B10,2)&amp;"*"&amp;K9&amp;"+"&amp;ROUND(C10,2)&amp;"*"&amp;L9&amp;""</f>
        <v>915,33+5,33*δ1+-46,17*δ2</v>
      </c>
      <c r="C14" s="34"/>
      <c r="D14" s="34"/>
      <c r="E14" s="34"/>
      <c r="F14" s="34"/>
      <c r="G14" s="1"/>
      <c r="H14" s="24" t="s">
        <v>53</v>
      </c>
      <c r="I14" s="23">
        <f>B10/H10</f>
        <v>88.911235067433665</v>
      </c>
      <c r="J14" s="23">
        <f>ABS(I14)/$N$14</f>
        <v>3.8709689190085519</v>
      </c>
      <c r="K14" s="1" t="str">
        <f t="shared" ref="K14:K15" si="0">IF(J14&gt;$T$9,"+"," -")</f>
        <v>+</v>
      </c>
      <c r="L14" s="1" t="str">
        <f>IF(J14&gt;$T$9,"Значимое"," Не знач")</f>
        <v>Значимое</v>
      </c>
      <c r="M14" s="22" t="s">
        <v>39</v>
      </c>
      <c r="N14" s="22">
        <f>SQRT(N12/12)</f>
        <v>22.96872874148676</v>
      </c>
      <c r="P14" s="18">
        <f>L3</f>
        <v>984.66666666666663</v>
      </c>
      <c r="Q14" s="18">
        <v>-1</v>
      </c>
      <c r="R14" s="18">
        <v>-1</v>
      </c>
      <c r="S14" s="21">
        <f>IF(K$13="+", $A$10, 0)+IF(K$14="+", $B$10, 0)*Q14+IF(K$15="+", $C$10, 0)*R14</f>
        <v>956.16666666666663</v>
      </c>
      <c r="T14" s="21">
        <f>P14-S14</f>
        <v>28.5</v>
      </c>
      <c r="U14" s="18">
        <f>T14^2</f>
        <v>812.25</v>
      </c>
    </row>
    <row r="15" spans="1:21" x14ac:dyDescent="0.25">
      <c r="H15" s="24" t="s">
        <v>54</v>
      </c>
      <c r="I15" s="23">
        <f>C10/I10</f>
        <v>-769.01841457343392</v>
      </c>
      <c r="J15" s="23">
        <f>ABS(I15)/$N$14</f>
        <v>33.481104819894163</v>
      </c>
      <c r="K15" s="1" t="str">
        <f t="shared" si="0"/>
        <v>+</v>
      </c>
      <c r="L15" s="1" t="str">
        <f>IF(J15&gt;$T$9,"Значимое"," Не знач")</f>
        <v>Значимое</v>
      </c>
      <c r="P15" s="18">
        <f>L4</f>
        <v>835.33333333333337</v>
      </c>
      <c r="Q15" s="18">
        <v>-1</v>
      </c>
      <c r="R15" s="18">
        <v>1</v>
      </c>
      <c r="S15" s="21">
        <f t="shared" ref="S15:S17" si="1">IF(K$13="+", $A$10, 0)+IF(K$14="+", $B$10, 0)*Q15+IF(K$15="+", $C$10, 0)*R15</f>
        <v>863.83333333333337</v>
      </c>
      <c r="T15" s="21">
        <f t="shared" ref="T15:T17" si="2">P15-S15</f>
        <v>-28.5</v>
      </c>
      <c r="U15" s="18">
        <f>T15^2</f>
        <v>812.25</v>
      </c>
    </row>
    <row r="16" spans="1:21" x14ac:dyDescent="0.25">
      <c r="P16" s="20">
        <f>L5</f>
        <v>938.33333333333337</v>
      </c>
      <c r="Q16" s="18">
        <v>1</v>
      </c>
      <c r="R16" s="18">
        <v>-1</v>
      </c>
      <c r="S16" s="21">
        <f t="shared" si="1"/>
        <v>966.83333333333337</v>
      </c>
      <c r="T16" s="21">
        <f t="shared" si="2"/>
        <v>-28.5</v>
      </c>
      <c r="U16" s="18">
        <f>T16^2</f>
        <v>812.25</v>
      </c>
    </row>
    <row r="17" spans="12:21" x14ac:dyDescent="0.25">
      <c r="P17" s="18">
        <f>L6</f>
        <v>903</v>
      </c>
      <c r="Q17" s="18">
        <v>1</v>
      </c>
      <c r="R17" s="18">
        <v>1</v>
      </c>
      <c r="S17" s="21">
        <f t="shared" si="1"/>
        <v>874.50000000000011</v>
      </c>
      <c r="T17" s="21">
        <f t="shared" si="2"/>
        <v>28.499999999999886</v>
      </c>
      <c r="U17" s="18">
        <f>T17^2</f>
        <v>812.24999999999352</v>
      </c>
    </row>
    <row r="18" spans="12:21" x14ac:dyDescent="0.25">
      <c r="M18" s="25" t="s">
        <v>45</v>
      </c>
      <c r="N18" s="25" t="s">
        <v>46</v>
      </c>
      <c r="P18" s="1"/>
      <c r="Q18" s="1"/>
      <c r="R18" s="1"/>
      <c r="S18" s="1"/>
      <c r="T18" s="1"/>
      <c r="U18" s="1"/>
    </row>
    <row r="19" spans="12:21" x14ac:dyDescent="0.25">
      <c r="M19" s="25">
        <f>N12/U19</f>
        <v>7.7940904893813636</v>
      </c>
      <c r="N19" s="25">
        <v>239</v>
      </c>
      <c r="P19" s="1"/>
      <c r="Q19" s="1"/>
      <c r="R19" s="1"/>
      <c r="S19" s="1"/>
      <c r="T19" s="1"/>
      <c r="U19" s="17">
        <f>AVERAGE(U14:U17)</f>
        <v>812.24999999999841</v>
      </c>
    </row>
    <row r="20" spans="12:21" x14ac:dyDescent="0.25">
      <c r="M20" s="1"/>
      <c r="N20" s="1"/>
    </row>
    <row r="21" spans="12:21" x14ac:dyDescent="0.25">
      <c r="L21" s="32" t="str">
        <f>IF(M19&lt;$N$19,"Гипотеза не отвергается"," Гиппотеза отвергается")</f>
        <v>Гипотеза не отвергается</v>
      </c>
      <c r="M21" s="32"/>
      <c r="N21" s="32"/>
    </row>
  </sheetData>
  <mergeCells count="7">
    <mergeCell ref="L21:N21"/>
    <mergeCell ref="P12:U12"/>
    <mergeCell ref="B14:F14"/>
    <mergeCell ref="B1:C1"/>
    <mergeCell ref="D1:E1"/>
    <mergeCell ref="F1:H1"/>
    <mergeCell ref="I1:L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203" zoomScaleNormal="203"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Данила Милосердов</cp:lastModifiedBy>
  <dcterms:created xsi:type="dcterms:W3CDTF">2015-06-05T18:19:34Z</dcterms:created>
  <dcterms:modified xsi:type="dcterms:W3CDTF">2026-03-17T10:11:31Z</dcterms:modified>
</cp:coreProperties>
</file>