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qyude\Desktop\"/>
    </mc:Choice>
  </mc:AlternateContent>
  <xr:revisionPtr revIDLastSave="0" documentId="13_ncr:1_{08EF3EDE-E725-492B-8B88-34A49A67E95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put" sheetId="4" r:id="rId1"/>
    <sheet name="math" sheetId="2" r:id="rId2"/>
    <sheet name="out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C5" i="3"/>
  <c r="C6" i="3"/>
  <c r="B4" i="3"/>
  <c r="B5" i="3"/>
  <c r="B6" i="3"/>
  <c r="C3" i="3"/>
  <c r="B3" i="3"/>
  <c r="C10" i="4"/>
  <c r="B2" i="2"/>
  <c r="B3" i="2"/>
  <c r="B1" i="2"/>
  <c r="D3" i="4"/>
  <c r="E3" i="4"/>
  <c r="L3" i="4"/>
  <c r="D4" i="4"/>
  <c r="E4" i="4"/>
  <c r="L4" i="4"/>
  <c r="A4" i="3" s="1"/>
  <c r="D5" i="4"/>
  <c r="E5" i="4"/>
  <c r="L5" i="4"/>
  <c r="D6" i="4"/>
  <c r="E6" i="4"/>
  <c r="L6" i="4"/>
  <c r="A6" i="3"/>
  <c r="A5" i="3"/>
  <c r="A3" i="3"/>
  <c r="K8" i="2" l="1"/>
  <c r="I7" i="2" l="1"/>
  <c r="J7" i="2"/>
  <c r="K7" i="2"/>
  <c r="B7" i="2"/>
  <c r="B9" i="2" s="1"/>
  <c r="B6" i="2"/>
  <c r="B8" i="2" s="1"/>
  <c r="K6" i="2"/>
  <c r="J9" i="2"/>
  <c r="K9" i="2"/>
  <c r="I9" i="2"/>
  <c r="J6" i="2"/>
  <c r="I8" i="2"/>
  <c r="I6" i="2"/>
  <c r="J8" i="2"/>
  <c r="L6" i="2" l="1"/>
  <c r="M6" i="2" s="1"/>
  <c r="L8" i="2"/>
  <c r="M8" i="2" s="1"/>
  <c r="E1" i="2"/>
  <c r="L9" i="2"/>
  <c r="M9" i="2" s="1"/>
  <c r="L7" i="2"/>
  <c r="M7" i="2" s="1"/>
  <c r="E9" i="2"/>
  <c r="E8" i="2"/>
  <c r="B4" i="2"/>
  <c r="E7" i="2"/>
  <c r="B5" i="2"/>
  <c r="B10" i="2"/>
  <c r="B11" i="2" l="1"/>
  <c r="F7" i="2" s="1"/>
  <c r="G7" i="2" s="1"/>
  <c r="F9" i="2" l="1"/>
  <c r="F8" i="2"/>
  <c r="H7" i="2"/>
  <c r="H9" i="2" l="1"/>
  <c r="G9" i="2"/>
  <c r="H8" i="2"/>
  <c r="G8" i="2"/>
  <c r="D6" i="3" l="1"/>
  <c r="E6" i="3" s="1"/>
  <c r="F6" i="3" s="1"/>
  <c r="D5" i="3"/>
  <c r="E5" i="3" s="1"/>
  <c r="F5" i="3" s="1"/>
  <c r="D4" i="3"/>
  <c r="E4" i="3" s="1"/>
  <c r="F4" i="3" s="1"/>
  <c r="D3" i="3"/>
  <c r="E3" i="3" s="1"/>
  <c r="F3" i="3" s="1"/>
  <c r="F7" i="3" l="1"/>
  <c r="E11" i="2" l="1"/>
  <c r="F11" i="2" s="1"/>
</calcChain>
</file>

<file path=xl/sharedStrings.xml><?xml version="1.0" encoding="utf-8"?>
<sst xmlns="http://schemas.openxmlformats.org/spreadsheetml/2006/main" count="51" uniqueCount="47">
  <si>
    <t>№ опыта</t>
  </si>
  <si>
    <t>План вкодированных переменных</t>
  </si>
  <si>
    <t>План в отношениях</t>
  </si>
  <si>
    <t>Z1</t>
  </si>
  <si>
    <t>Z2</t>
  </si>
  <si>
    <t>План в исходных перемещениях</t>
  </si>
  <si>
    <t>х1</t>
  </si>
  <si>
    <t>х2</t>
  </si>
  <si>
    <t>х3</t>
  </si>
  <si>
    <t>Отклик</t>
  </si>
  <si>
    <t>у2</t>
  </si>
  <si>
    <t>у3</t>
  </si>
  <si>
    <t>уср.</t>
  </si>
  <si>
    <t>b0</t>
  </si>
  <si>
    <t>b1</t>
  </si>
  <si>
    <t>b2</t>
  </si>
  <si>
    <t>δ1</t>
  </si>
  <si>
    <t>δ2</t>
  </si>
  <si>
    <t>Y=</t>
  </si>
  <si>
    <t>у₁</t>
  </si>
  <si>
    <r>
      <t>S</t>
    </r>
    <r>
      <rPr>
        <sz val="11"/>
        <color theme="1"/>
        <rFont val="Calibri"/>
        <family val="2"/>
        <charset val="204"/>
      </rPr>
      <t>₁</t>
    </r>
    <r>
      <rPr>
        <sz val="16.95"/>
        <color theme="1"/>
        <rFont val="Calibri"/>
        <family val="2"/>
        <charset val="204"/>
      </rPr>
      <t>²</t>
    </r>
  </si>
  <si>
    <r>
      <t>S</t>
    </r>
    <r>
      <rPr>
        <sz val="11"/>
        <color theme="1"/>
        <rFont val="Calibri"/>
        <family val="2"/>
        <charset val="204"/>
      </rPr>
      <t>₂</t>
    </r>
    <r>
      <rPr>
        <sz val="16.95"/>
        <color theme="1"/>
        <rFont val="Calibri"/>
        <family val="2"/>
        <charset val="204"/>
      </rPr>
      <t>²</t>
    </r>
  </si>
  <si>
    <r>
      <t>S</t>
    </r>
    <r>
      <rPr>
        <sz val="11"/>
        <color theme="1"/>
        <rFont val="Calibri"/>
        <family val="2"/>
        <charset val="204"/>
      </rPr>
      <t>₃</t>
    </r>
    <r>
      <rPr>
        <sz val="16.95"/>
        <color theme="1"/>
        <rFont val="Calibri"/>
        <family val="2"/>
        <charset val="204"/>
      </rPr>
      <t>²</t>
    </r>
  </si>
  <si>
    <t>G</t>
  </si>
  <si>
    <t>Gкрит</t>
  </si>
  <si>
    <r>
      <t>V</t>
    </r>
    <r>
      <rPr>
        <sz val="11"/>
        <color theme="1"/>
        <rFont val="Calibri"/>
        <family val="2"/>
        <charset val="204"/>
      </rPr>
      <t>₁</t>
    </r>
  </si>
  <si>
    <r>
      <t>V</t>
    </r>
    <r>
      <rPr>
        <sz val="11"/>
        <color theme="1"/>
        <rFont val="Calibri"/>
        <family val="2"/>
        <charset val="204"/>
      </rPr>
      <t>₂</t>
    </r>
  </si>
  <si>
    <t>q</t>
  </si>
  <si>
    <t>в</t>
  </si>
  <si>
    <t>t</t>
  </si>
  <si>
    <t>S^2_вос</t>
  </si>
  <si>
    <t>S_в</t>
  </si>
  <si>
    <t>t_крит</t>
  </si>
  <si>
    <t>у_ср</t>
  </si>
  <si>
    <t>y</t>
  </si>
  <si>
    <t>у ср-у</t>
  </si>
  <si>
    <t>(у ср-у)^2</t>
  </si>
  <si>
    <t>F</t>
  </si>
  <si>
    <t>F_крит</t>
  </si>
  <si>
    <t>Итог</t>
  </si>
  <si>
    <r>
      <t>Pz</t>
    </r>
    <r>
      <rPr>
        <sz val="11"/>
        <color theme="1"/>
        <rFont val="Calibri"/>
        <family val="2"/>
        <charset val="204"/>
      </rPr>
      <t>₂</t>
    </r>
  </si>
  <si>
    <r>
      <t>Pz</t>
    </r>
    <r>
      <rPr>
        <sz val="11"/>
        <color theme="1"/>
        <rFont val="Calibri"/>
        <family val="2"/>
        <charset val="204"/>
      </rPr>
      <t>₁</t>
    </r>
  </si>
  <si>
    <r>
      <t>z</t>
    </r>
    <r>
      <rPr>
        <sz val="11"/>
        <color theme="1"/>
        <rFont val="Calibri"/>
        <family val="2"/>
        <charset val="204"/>
      </rPr>
      <t>₁</t>
    </r>
    <r>
      <rPr>
        <sz val="11"/>
        <color theme="1"/>
        <rFont val="Calibri"/>
        <family val="2"/>
        <scheme val="minor"/>
      </rPr>
      <t>ср.</t>
    </r>
  </si>
  <si>
    <r>
      <t>z</t>
    </r>
    <r>
      <rPr>
        <sz val="11"/>
        <color theme="1"/>
        <rFont val="Calibri"/>
        <family val="2"/>
        <charset val="204"/>
      </rPr>
      <t>₂</t>
    </r>
    <r>
      <rPr>
        <sz val="11"/>
        <color theme="1"/>
        <rFont val="Calibri"/>
        <family val="2"/>
        <scheme val="minor"/>
      </rPr>
      <t>ср.</t>
    </r>
  </si>
  <si>
    <t>b₀</t>
  </si>
  <si>
    <t>b₁</t>
  </si>
  <si>
    <t>b₂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</si>
</sst>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6.95"/>
      <color theme="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B012E2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7" borderId="0" applyNumberFormat="0" applyBorder="0" applyAlignment="0" applyProtection="0"/>
    <xf numFmtId="0" fontId="6" fillId="14" borderId="0" applyNumberFormat="0" applyBorder="0" applyAlignment="0" applyProtection="0"/>
    <xf numFmtId="0" fontId="7" fillId="15" borderId="7" applyNumberFormat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 vertical="center"/>
    </xf>
    <xf numFmtId="0" fontId="4" fillId="0" borderId="0" xfId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6" fillId="14" borderId="0" xfId="2" applyAlignment="1">
      <alignment horizontal="center" vertical="center"/>
    </xf>
    <xf numFmtId="0" fontId="7" fillId="15" borderId="7" xfId="3" applyAlignment="1">
      <alignment horizontal="center" vertical="center"/>
    </xf>
  </cellXfs>
  <cellStyles count="4">
    <cellStyle name="Calculation" xfId="3" builtinId="22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B012E2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89F4-FBEB-4A51-B6D9-C826EE1236FF}">
  <dimension ref="A1:L13"/>
  <sheetViews>
    <sheetView tabSelected="1" zoomScale="190" zoomScaleNormal="190" workbookViewId="0">
      <selection activeCell="F11" sqref="F11"/>
    </sheetView>
  </sheetViews>
  <sheetFormatPr defaultRowHeight="15" x14ac:dyDescent="0.25"/>
  <sheetData>
    <row r="1" spans="1:12" x14ac:dyDescent="0.25">
      <c r="A1" s="6" t="s">
        <v>0</v>
      </c>
      <c r="B1" s="31" t="s">
        <v>1</v>
      </c>
      <c r="C1" s="31"/>
      <c r="D1" s="32" t="s">
        <v>2</v>
      </c>
      <c r="E1" s="32"/>
      <c r="F1" s="31" t="s">
        <v>5</v>
      </c>
      <c r="G1" s="31"/>
      <c r="H1" s="31"/>
      <c r="I1" s="32" t="s">
        <v>9</v>
      </c>
      <c r="J1" s="32"/>
      <c r="K1" s="32"/>
      <c r="L1" s="32"/>
    </row>
    <row r="2" spans="1:12" ht="15.75" thickBot="1" x14ac:dyDescent="0.3">
      <c r="A2" s="6"/>
      <c r="B2" s="7" t="s">
        <v>16</v>
      </c>
      <c r="C2" s="7" t="s">
        <v>17</v>
      </c>
      <c r="D2" s="6" t="s">
        <v>3</v>
      </c>
      <c r="E2" s="6" t="s">
        <v>4</v>
      </c>
      <c r="F2" s="6" t="s">
        <v>6</v>
      </c>
      <c r="G2" s="6" t="s">
        <v>7</v>
      </c>
      <c r="H2" s="6" t="s">
        <v>8</v>
      </c>
      <c r="I2" s="6" t="s">
        <v>19</v>
      </c>
      <c r="J2" s="6" t="s">
        <v>10</v>
      </c>
      <c r="K2" s="6" t="s">
        <v>11</v>
      </c>
      <c r="L2" s="6" t="s">
        <v>12</v>
      </c>
    </row>
    <row r="3" spans="1:12" ht="15.75" thickBot="1" x14ac:dyDescent="0.3">
      <c r="A3" s="6">
        <v>1</v>
      </c>
      <c r="B3" s="6">
        <v>-1</v>
      </c>
      <c r="C3" s="6">
        <v>-1</v>
      </c>
      <c r="D3" s="6">
        <f>F3/G3</f>
        <v>1</v>
      </c>
      <c r="E3" s="6">
        <f>H3/G3</f>
        <v>0.2857142857142857</v>
      </c>
      <c r="F3" s="25">
        <v>43.75</v>
      </c>
      <c r="G3" s="26">
        <v>43.75</v>
      </c>
      <c r="H3" s="26">
        <v>12.5</v>
      </c>
      <c r="I3" s="25">
        <v>1167</v>
      </c>
      <c r="J3" s="26">
        <v>1238</v>
      </c>
      <c r="K3" s="26">
        <v>963</v>
      </c>
      <c r="L3" s="6">
        <f>AVERAGE(I3,J3,K3)</f>
        <v>1122.6666666666667</v>
      </c>
    </row>
    <row r="4" spans="1:12" ht="15.75" thickBot="1" x14ac:dyDescent="0.3">
      <c r="A4" s="6">
        <v>2</v>
      </c>
      <c r="B4" s="6">
        <v>-1</v>
      </c>
      <c r="C4" s="6">
        <v>1</v>
      </c>
      <c r="D4" s="6">
        <f>F4/G4</f>
        <v>1</v>
      </c>
      <c r="E4" s="6">
        <f>H4/G4</f>
        <v>0.8571428571428571</v>
      </c>
      <c r="F4" s="27">
        <v>35</v>
      </c>
      <c r="G4" s="28">
        <v>35</v>
      </c>
      <c r="H4" s="28">
        <v>30</v>
      </c>
      <c r="I4" s="27">
        <v>991</v>
      </c>
      <c r="J4" s="28">
        <v>992</v>
      </c>
      <c r="K4" s="28">
        <v>849</v>
      </c>
      <c r="L4" s="6">
        <f>AVERAGE(I4,J4,K4)</f>
        <v>944</v>
      </c>
    </row>
    <row r="5" spans="1:12" ht="15.75" thickBot="1" x14ac:dyDescent="0.3">
      <c r="A5" s="6">
        <v>3</v>
      </c>
      <c r="B5" s="6">
        <v>1</v>
      </c>
      <c r="C5" s="6">
        <v>-1</v>
      </c>
      <c r="D5" s="6">
        <f>F5/G5</f>
        <v>1.5727766657134687</v>
      </c>
      <c r="E5" s="6">
        <f>H5/G5</f>
        <v>0.2859593937660852</v>
      </c>
      <c r="F5" s="27">
        <v>55</v>
      </c>
      <c r="G5" s="28">
        <v>34.97</v>
      </c>
      <c r="H5" s="28">
        <v>10</v>
      </c>
      <c r="I5" s="27">
        <v>1167</v>
      </c>
      <c r="J5" s="28">
        <v>1116</v>
      </c>
      <c r="K5" s="28">
        <v>1135</v>
      </c>
      <c r="L5" s="8">
        <f>AVERAGE(I5,J5,K5)</f>
        <v>1139.3333333333333</v>
      </c>
    </row>
    <row r="6" spans="1:12" ht="15.75" thickBot="1" x14ac:dyDescent="0.3">
      <c r="A6" s="6">
        <v>4</v>
      </c>
      <c r="B6" s="6">
        <v>1</v>
      </c>
      <c r="C6" s="6">
        <v>1</v>
      </c>
      <c r="D6" s="6">
        <f>F6/G6</f>
        <v>1.8208184346444178</v>
      </c>
      <c r="E6" s="6">
        <f>H6/G6</f>
        <v>0.9932459276916964</v>
      </c>
      <c r="F6" s="27">
        <v>45.83</v>
      </c>
      <c r="G6" s="28">
        <v>25.17</v>
      </c>
      <c r="H6" s="28">
        <v>25</v>
      </c>
      <c r="I6" s="27">
        <v>967</v>
      </c>
      <c r="J6" s="28">
        <v>1119</v>
      </c>
      <c r="K6" s="28">
        <v>1058</v>
      </c>
      <c r="L6" s="6">
        <f>AVERAGE(I6,J6,K6)</f>
        <v>1048</v>
      </c>
    </row>
    <row r="7" spans="1:12" x14ac:dyDescent="0.25">
      <c r="A7" s="6"/>
      <c r="B7" s="6"/>
      <c r="C7" s="6"/>
      <c r="D7" s="6"/>
      <c r="E7" s="6"/>
      <c r="F7" s="6"/>
      <c r="G7" s="6"/>
      <c r="H7" s="6"/>
      <c r="I7" s="6"/>
      <c r="J7" s="12"/>
      <c r="K7" s="12"/>
      <c r="L7" s="6"/>
    </row>
    <row r="9" spans="1:12" x14ac:dyDescent="0.25">
      <c r="A9" s="6" t="s">
        <v>24</v>
      </c>
      <c r="B9" s="6" t="s">
        <v>25</v>
      </c>
      <c r="C9" s="6" t="s">
        <v>26</v>
      </c>
      <c r="D9" s="6" t="s">
        <v>27</v>
      </c>
    </row>
    <row r="10" spans="1:12" x14ac:dyDescent="0.25">
      <c r="A10" s="6">
        <v>0.76790000000000003</v>
      </c>
      <c r="B10" s="6">
        <v>2</v>
      </c>
      <c r="C10" s="6">
        <f>4</f>
        <v>4</v>
      </c>
      <c r="D10" s="14">
        <v>0.05</v>
      </c>
    </row>
    <row r="12" spans="1:12" x14ac:dyDescent="0.25">
      <c r="A12" s="34" t="s">
        <v>32</v>
      </c>
      <c r="B12" s="34">
        <v>2.306</v>
      </c>
    </row>
    <row r="13" spans="1:12" x14ac:dyDescent="0.25">
      <c r="A13" s="24" t="s">
        <v>38</v>
      </c>
      <c r="B13" s="24">
        <v>239</v>
      </c>
    </row>
  </sheetData>
  <mergeCells count="4">
    <mergeCell ref="B1:C1"/>
    <mergeCell ref="D1:E1"/>
    <mergeCell ref="F1:H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zoomScale="145" zoomScaleNormal="145" workbookViewId="0">
      <selection activeCell="L14" sqref="L14"/>
    </sheetView>
  </sheetViews>
  <sheetFormatPr defaultRowHeight="15" x14ac:dyDescent="0.25"/>
  <cols>
    <col min="1" max="1" width="9.140625" bestFit="1" customWidth="1"/>
    <col min="2" max="2" width="12.85546875" bestFit="1" customWidth="1"/>
    <col min="3" max="3" width="3.7109375" customWidth="1"/>
    <col min="6" max="6" width="23.5703125" bestFit="1" customWidth="1"/>
    <col min="7" max="7" width="6.42578125" bestFit="1" customWidth="1"/>
    <col min="8" max="8" width="10.140625" bestFit="1" customWidth="1"/>
    <col min="15" max="15" width="16.28515625" customWidth="1"/>
    <col min="19" max="19" width="10.28515625" bestFit="1" customWidth="1"/>
  </cols>
  <sheetData>
    <row r="1" spans="1:14" ht="28.9" customHeight="1" x14ac:dyDescent="0.25">
      <c r="A1" s="5" t="s">
        <v>13</v>
      </c>
      <c r="B1" s="5">
        <f>SUM(input!L3:L6)/4</f>
        <v>1063.5</v>
      </c>
      <c r="D1" s="11" t="s">
        <v>18</v>
      </c>
      <c r="E1" s="30" t="str">
        <f>""&amp;ROUND(B1,2)&amp;"+"&amp;ROUND(B2,2)&amp;"*"&amp;A4&amp;"+"&amp;ROUND(B3,2)&amp;"*"&amp;A5&amp;""</f>
        <v>1063.5+30.17*δ1+-67.5*δ2</v>
      </c>
      <c r="F1" s="30"/>
      <c r="G1" s="30"/>
      <c r="H1" s="30"/>
      <c r="I1" s="30"/>
      <c r="M1" s="1"/>
    </row>
    <row r="2" spans="1:14" x14ac:dyDescent="0.25">
      <c r="A2" s="5" t="s">
        <v>14</v>
      </c>
      <c r="B2" s="5">
        <f>(-input!L3-input!L4+input!L5+input!L6)/4</f>
        <v>30.166666666666572</v>
      </c>
      <c r="M2" s="1"/>
    </row>
    <row r="3" spans="1:14" x14ac:dyDescent="0.25">
      <c r="A3" s="5" t="s">
        <v>15</v>
      </c>
      <c r="B3" s="5">
        <f>(-input!L3+input!L4-input!L5+input!L6)/4</f>
        <v>-67.5</v>
      </c>
      <c r="M3" s="1"/>
    </row>
    <row r="4" spans="1:14" x14ac:dyDescent="0.25">
      <c r="A4" s="9" t="s">
        <v>16</v>
      </c>
      <c r="B4" s="10">
        <f>((input!F3/input!G3)-B6)/B8</f>
        <v>-1</v>
      </c>
      <c r="M4" s="1"/>
    </row>
    <row r="5" spans="1:14" ht="22.5" x14ac:dyDescent="0.25">
      <c r="A5" s="9" t="s">
        <v>17</v>
      </c>
      <c r="B5" s="10">
        <f>(input!E3-B7)/B9</f>
        <v>-0.82480353169724041</v>
      </c>
      <c r="I5" s="6" t="s">
        <v>20</v>
      </c>
      <c r="J5" s="6" t="s">
        <v>21</v>
      </c>
      <c r="K5" s="6" t="s">
        <v>22</v>
      </c>
      <c r="L5" s="6" t="s">
        <v>23</v>
      </c>
    </row>
    <row r="6" spans="1:14" x14ac:dyDescent="0.25">
      <c r="A6" s="3" t="s">
        <v>42</v>
      </c>
      <c r="B6" s="4">
        <f>SUM(input!D3:D6)/4</f>
        <v>1.3483987750894717</v>
      </c>
      <c r="D6" s="22"/>
      <c r="E6" s="22" t="s">
        <v>28</v>
      </c>
      <c r="F6" s="22" t="s">
        <v>29</v>
      </c>
      <c r="I6" s="13">
        <f>(input!L3-input!I3)^2</f>
        <v>1965.4444444444377</v>
      </c>
      <c r="J6" s="13">
        <f>(input!L3-input!J3)^2</f>
        <v>13301.777777777761</v>
      </c>
      <c r="K6" s="13">
        <f>(input!L3-input!K3)^2</f>
        <v>25493.444444444467</v>
      </c>
      <c r="L6" s="13">
        <f>MAX(I6:K6)/SUM(I6:K6)</f>
        <v>0.62544228368307198</v>
      </c>
      <c r="M6" s="15" t="str">
        <f>IF(L6&lt;input!$A$10,"OK"," not OK")</f>
        <v>OK</v>
      </c>
    </row>
    <row r="7" spans="1:14" x14ac:dyDescent="0.25">
      <c r="A7" s="3" t="s">
        <v>43</v>
      </c>
      <c r="B7" s="4">
        <f>SUM(input!E3:E6)/4</f>
        <v>0.60551561607873106</v>
      </c>
      <c r="C7" s="1"/>
      <c r="D7" s="22" t="s">
        <v>44</v>
      </c>
      <c r="E7" s="22">
        <f>B1+B2*(-1)*B6/B8+B3*B7*(-1)/B9</f>
        <v>1052.1609901718844</v>
      </c>
      <c r="F7" s="22">
        <f>ABS(E7)/$B$11</f>
        <v>39.729733808880695</v>
      </c>
      <c r="G7" s="35" t="str">
        <f>IF(F7&gt;input!$B$12,"+"," -")</f>
        <v>+</v>
      </c>
      <c r="H7" s="35" t="str">
        <f>IF(F7&gt;input!$B$12,"Значимое"," Не знач")</f>
        <v>Значимое</v>
      </c>
      <c r="I7" s="13">
        <f>(input!L4-input!I4)^2</f>
        <v>2209</v>
      </c>
      <c r="J7" s="13">
        <f>(input!L4-input!J4)^2</f>
        <v>2304</v>
      </c>
      <c r="K7" s="13">
        <f>(input!L4-input!K4)^2</f>
        <v>9025</v>
      </c>
      <c r="L7" s="13">
        <f>MAX(I7:K7)/SUM(I7:K7)</f>
        <v>0.6666420446151573</v>
      </c>
      <c r="M7" s="15" t="str">
        <f>IF(L7&lt;input!$A$10,"OK"," not OK")</f>
        <v>OK</v>
      </c>
    </row>
    <row r="8" spans="1:14" x14ac:dyDescent="0.25">
      <c r="A8" s="2" t="s">
        <v>41</v>
      </c>
      <c r="B8" s="2">
        <f>B6-MIN(input!D3:D6)</f>
        <v>0.3483987750894717</v>
      </c>
      <c r="D8" s="23" t="s">
        <v>45</v>
      </c>
      <c r="E8" s="22">
        <f>B2/B8</f>
        <v>86.58660369549095</v>
      </c>
      <c r="F8" s="22">
        <f>ABS(E8)/$B$11</f>
        <v>3.2695212504266307</v>
      </c>
      <c r="G8" s="35" t="str">
        <f>IF(F8&gt;input!$B$12,"+"," -")</f>
        <v>+</v>
      </c>
      <c r="H8" s="35" t="str">
        <f>IF(F8&gt;input!$B$12,"Значимое"," Не знач")</f>
        <v>Значимое</v>
      </c>
      <c r="I8" s="13">
        <f>(input!L5-input!I5)^2</f>
        <v>765.44444444444866</v>
      </c>
      <c r="J8" s="13">
        <f>(input!L5-input!J5)^2</f>
        <v>544.44444444444093</v>
      </c>
      <c r="K8" s="13">
        <f>(input!L5-input!K5)^2</f>
        <v>18.777777777777121</v>
      </c>
      <c r="L8" s="13">
        <f>MAX(I8:K8)/SUM(I8:K8)</f>
        <v>0.5760996822211103</v>
      </c>
      <c r="M8" s="15" t="str">
        <f>IF(L8&lt;input!$A$10,"OK"," not OK")</f>
        <v>OK</v>
      </c>
    </row>
    <row r="9" spans="1:14" x14ac:dyDescent="0.25">
      <c r="A9" s="2" t="s">
        <v>40</v>
      </c>
      <c r="B9" s="2">
        <f>MAX(input!E3:E6)-B7</f>
        <v>0.38773031161296534</v>
      </c>
      <c r="D9" s="23" t="s">
        <v>46</v>
      </c>
      <c r="E9" s="22">
        <f>B3/B9</f>
        <v>-174.09007750567332</v>
      </c>
      <c r="F9" s="22">
        <f>ABS(E9)/$B$11</f>
        <v>6.573663633868331</v>
      </c>
      <c r="G9" s="35" t="str">
        <f>IF(F9&gt;input!$B$12,"+"," -")</f>
        <v>+</v>
      </c>
      <c r="H9" s="35" t="str">
        <f>IF(F9&gt;input!$B$12,"Значимое"," Не знач")</f>
        <v>Значимое</v>
      </c>
      <c r="I9" s="13">
        <f>(input!L6-input!I6)^2</f>
        <v>6561</v>
      </c>
      <c r="J9" s="13">
        <f>(input!L6-input!J6)^2</f>
        <v>5041</v>
      </c>
      <c r="K9" s="13">
        <f>(input!L6-input!K6)^2</f>
        <v>100</v>
      </c>
      <c r="L9" s="13">
        <f>MAX(I9:K9)/SUM(I9:K9)</f>
        <v>0.56067338916424547</v>
      </c>
      <c r="M9" s="15" t="str">
        <f>IF(L9&lt;input!$A$10,"OK"," not OK")</f>
        <v>OK</v>
      </c>
    </row>
    <row r="10" spans="1:14" x14ac:dyDescent="0.25">
      <c r="A10" s="21" t="s">
        <v>30</v>
      </c>
      <c r="B10" s="21">
        <f>SUM(I6:K9)/8</f>
        <v>8416.1666666666642</v>
      </c>
      <c r="J10" s="1"/>
      <c r="M10" s="1"/>
    </row>
    <row r="11" spans="1:14" x14ac:dyDescent="0.25">
      <c r="A11" s="21" t="s">
        <v>31</v>
      </c>
      <c r="B11" s="21">
        <f>SQRT(B10/12)</f>
        <v>26.482960979131885</v>
      </c>
      <c r="C11" s="1"/>
      <c r="D11" s="24" t="s">
        <v>37</v>
      </c>
      <c r="E11" s="24">
        <f>B10/output!F7</f>
        <v>17.65526484470595</v>
      </c>
      <c r="F11" s="33" t="str">
        <f>IF(E11&lt;input!$B$13,"Гипотеза не отвергается"," Гиппотеза отвергается")</f>
        <v>Гипотеза не отвергается</v>
      </c>
      <c r="G11" s="1"/>
      <c r="H11" s="1"/>
      <c r="I11" s="1"/>
      <c r="J11" s="1"/>
      <c r="K11" s="1"/>
      <c r="L11" s="1"/>
      <c r="M11" s="1"/>
    </row>
    <row r="12" spans="1:14" x14ac:dyDescent="0.25">
      <c r="G12" s="1"/>
      <c r="K12" s="1"/>
    </row>
    <row r="13" spans="1:14" x14ac:dyDescent="0.25">
      <c r="M13" s="1"/>
      <c r="N13" s="1"/>
    </row>
    <row r="19" spans="13:20" x14ac:dyDescent="0.25">
      <c r="P19" s="1"/>
      <c r="Q19" s="1"/>
      <c r="R19" s="1"/>
      <c r="S19" s="1"/>
      <c r="T19" s="1"/>
    </row>
    <row r="20" spans="13:20" x14ac:dyDescent="0.25">
      <c r="M20" s="1"/>
      <c r="N20" s="1"/>
    </row>
  </sheetData>
  <mergeCells count="1">
    <mergeCell ref="E1:I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="203" zoomScaleNormal="203" workbookViewId="0">
      <selection activeCell="F7" sqref="F7"/>
    </sheetView>
  </sheetViews>
  <sheetFormatPr defaultRowHeight="15" x14ac:dyDescent="0.25"/>
  <sheetData>
    <row r="1" spans="1:6" x14ac:dyDescent="0.25">
      <c r="A1" s="29" t="s">
        <v>39</v>
      </c>
      <c r="B1" s="29"/>
      <c r="C1" s="29"/>
      <c r="D1" s="29"/>
      <c r="E1" s="29"/>
      <c r="F1" s="29"/>
    </row>
    <row r="2" spans="1:6" x14ac:dyDescent="0.25">
      <c r="A2" s="17" t="s">
        <v>33</v>
      </c>
      <c r="B2" s="18" t="s">
        <v>16</v>
      </c>
      <c r="C2" s="18" t="s">
        <v>17</v>
      </c>
      <c r="D2" s="17" t="s">
        <v>34</v>
      </c>
      <c r="E2" s="17" t="s">
        <v>35</v>
      </c>
      <c r="F2" s="17" t="s">
        <v>36</v>
      </c>
    </row>
    <row r="3" spans="1:6" x14ac:dyDescent="0.25">
      <c r="A3" s="17">
        <f>input!L3</f>
        <v>1122.6666666666667</v>
      </c>
      <c r="B3" s="17">
        <f>input!B3</f>
        <v>-1</v>
      </c>
      <c r="C3" s="17">
        <f>input!C3</f>
        <v>-1</v>
      </c>
      <c r="D3" s="20">
        <f>IF(math!G$7="+", math!$B$1, 0)+IF(math!G$8="+", math!$B$2, 0)*B3+IF(math!G$9="+", math!$B$3, 0)*C3</f>
        <v>1100.8333333333335</v>
      </c>
      <c r="E3" s="20">
        <f>A3-D3</f>
        <v>21.833333333333258</v>
      </c>
      <c r="F3" s="17">
        <f>E3^2</f>
        <v>476.69444444444116</v>
      </c>
    </row>
    <row r="4" spans="1:6" x14ac:dyDescent="0.25">
      <c r="A4" s="17">
        <f>input!L4</f>
        <v>944</v>
      </c>
      <c r="B4" s="17">
        <f>input!B4</f>
        <v>-1</v>
      </c>
      <c r="C4" s="17">
        <f>input!C4</f>
        <v>1</v>
      </c>
      <c r="D4" s="20">
        <f>IF(math!G$7="+", math!$B$1, 0)+IF(math!G$8="+", math!$B$2, 0)*B4+IF(math!G$9="+", math!$B$3, 0)*C4</f>
        <v>965.83333333333348</v>
      </c>
      <c r="E4" s="20">
        <f>A4-D4</f>
        <v>-21.833333333333485</v>
      </c>
      <c r="F4" s="17">
        <f>E4^2</f>
        <v>476.69444444445105</v>
      </c>
    </row>
    <row r="5" spans="1:6" x14ac:dyDescent="0.25">
      <c r="A5" s="19">
        <f>input!L5</f>
        <v>1139.3333333333333</v>
      </c>
      <c r="B5" s="17">
        <f>input!B5</f>
        <v>1</v>
      </c>
      <c r="C5" s="17">
        <f>input!C5</f>
        <v>-1</v>
      </c>
      <c r="D5" s="20">
        <f>IF(math!G$7="+", math!$B$1, 0)+IF(math!G$8="+", math!$B$2, 0)*B5+IF(math!G$9="+", math!$B$3, 0)*C5</f>
        <v>1161.1666666666665</v>
      </c>
      <c r="E5" s="20">
        <f>A5-D5</f>
        <v>-21.833333333333258</v>
      </c>
      <c r="F5" s="17">
        <f>E5^2</f>
        <v>476.69444444444116</v>
      </c>
    </row>
    <row r="6" spans="1:6" x14ac:dyDescent="0.25">
      <c r="A6" s="17">
        <f>input!L6</f>
        <v>1048</v>
      </c>
      <c r="B6" s="17">
        <f>input!B6</f>
        <v>1</v>
      </c>
      <c r="C6" s="17">
        <f>input!C6</f>
        <v>1</v>
      </c>
      <c r="D6" s="20">
        <f>IF(math!G$7="+", math!$B$1, 0)+IF(math!G$8="+", math!$B$2, 0)*B6+IF(math!G$9="+", math!$B$3, 0)*C6</f>
        <v>1026.1666666666665</v>
      </c>
      <c r="E6" s="20">
        <f>A6-D6</f>
        <v>21.833333333333485</v>
      </c>
      <c r="F6" s="17">
        <f>E6^2</f>
        <v>476.69444444445105</v>
      </c>
    </row>
    <row r="7" spans="1:6" x14ac:dyDescent="0.25">
      <c r="A7" s="1"/>
      <c r="B7" s="1"/>
      <c r="C7" s="1"/>
      <c r="D7" s="1"/>
      <c r="E7" s="1"/>
      <c r="F7" s="16">
        <f>AVERAGE(F3:F6)</f>
        <v>476.69444444444616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math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Jor Oqyude</cp:lastModifiedBy>
  <dcterms:created xsi:type="dcterms:W3CDTF">2015-06-05T18:19:34Z</dcterms:created>
  <dcterms:modified xsi:type="dcterms:W3CDTF">2026-03-17T10:03:50Z</dcterms:modified>
</cp:coreProperties>
</file>